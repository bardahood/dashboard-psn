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cuments\Barda\Project\2026\BAPPENAS\"/>
    </mc:Choice>
  </mc:AlternateContent>
  <xr:revisionPtr revIDLastSave="0" documentId="13_ncr:1_{1F46D227-D17C-4BD9-A7B3-FEC7E86D0A1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atrik" sheetId="6" r:id="rId1"/>
    <sheet name="Rekap" sheetId="8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91" i="6" l="1"/>
  <c r="O300" i="6" l="1"/>
  <c r="O299" i="6"/>
  <c r="O298" i="6"/>
  <c r="O297" i="6"/>
  <c r="O296" i="6"/>
  <c r="O295" i="6"/>
  <c r="O294" i="6"/>
  <c r="O293" i="6"/>
  <c r="O292" i="6"/>
  <c r="O291" i="6"/>
  <c r="O290" i="6"/>
  <c r="O289" i="6"/>
  <c r="O288" i="6"/>
  <c r="O287" i="6"/>
  <c r="O286" i="6"/>
  <c r="O285" i="6"/>
  <c r="O284" i="6"/>
  <c r="O283" i="6"/>
  <c r="O282" i="6"/>
  <c r="O281" i="6"/>
  <c r="O280" i="6"/>
  <c r="O279" i="6"/>
  <c r="O278" i="6"/>
  <c r="O277" i="6"/>
  <c r="O276" i="6"/>
  <c r="O275" i="6"/>
  <c r="O274" i="6"/>
  <c r="O273" i="6"/>
  <c r="O272" i="6"/>
  <c r="O271" i="6"/>
  <c r="O270" i="6"/>
  <c r="O269" i="6"/>
  <c r="O268" i="6"/>
  <c r="O267" i="6"/>
  <c r="O266" i="6"/>
  <c r="O265" i="6"/>
  <c r="O264" i="6"/>
  <c r="O263" i="6"/>
  <c r="O262" i="6"/>
  <c r="O261" i="6"/>
  <c r="O260" i="6"/>
  <c r="O259" i="6"/>
  <c r="O258" i="6"/>
  <c r="O257" i="6"/>
  <c r="O256" i="6"/>
  <c r="O255" i="6"/>
  <c r="O254" i="6"/>
  <c r="O253" i="6"/>
  <c r="O252" i="6"/>
  <c r="O251" i="6"/>
  <c r="O250" i="6"/>
  <c r="O249" i="6"/>
  <c r="O248" i="6"/>
  <c r="O247" i="6"/>
  <c r="O246" i="6"/>
  <c r="O245" i="6"/>
  <c r="O244" i="6"/>
  <c r="O243" i="6"/>
  <c r="O242" i="6"/>
  <c r="O241" i="6"/>
  <c r="O240" i="6"/>
  <c r="O239" i="6"/>
  <c r="O238" i="6"/>
  <c r="O237" i="6"/>
  <c r="O236" i="6"/>
  <c r="O235" i="6"/>
  <c r="O234" i="6"/>
  <c r="O233" i="6"/>
  <c r="O232" i="6"/>
  <c r="O231" i="6"/>
  <c r="O230" i="6"/>
  <c r="O229" i="6"/>
  <c r="O228" i="6"/>
  <c r="O227" i="6"/>
  <c r="O226" i="6"/>
  <c r="O225" i="6"/>
  <c r="O224" i="6"/>
  <c r="O223" i="6"/>
  <c r="O222" i="6"/>
  <c r="O221" i="6"/>
  <c r="O220" i="6"/>
  <c r="O219" i="6"/>
  <c r="O218" i="6"/>
  <c r="O217" i="6"/>
  <c r="O216" i="6"/>
  <c r="O215" i="6"/>
  <c r="O214" i="6"/>
  <c r="O213" i="6"/>
  <c r="O212" i="6"/>
  <c r="O211" i="6"/>
  <c r="O210" i="6"/>
  <c r="O209" i="6"/>
  <c r="O208" i="6"/>
  <c r="O207" i="6"/>
  <c r="O206" i="6"/>
  <c r="O205" i="6"/>
  <c r="O204" i="6"/>
  <c r="O203" i="6"/>
  <c r="O202" i="6"/>
  <c r="O201" i="6"/>
  <c r="O200" i="6"/>
  <c r="O199" i="6"/>
  <c r="O198" i="6"/>
  <c r="O197" i="6"/>
  <c r="O196" i="6"/>
  <c r="O195" i="6"/>
  <c r="O194" i="6"/>
  <c r="O193" i="6"/>
  <c r="O192" i="6"/>
  <c r="O191" i="6"/>
  <c r="O190" i="6"/>
  <c r="O189" i="6"/>
  <c r="O188" i="6"/>
  <c r="O187" i="6"/>
  <c r="O186" i="6"/>
  <c r="O185" i="6"/>
  <c r="O184" i="6"/>
  <c r="O183" i="6"/>
  <c r="O182" i="6"/>
  <c r="O181" i="6"/>
  <c r="O180" i="6"/>
  <c r="O179" i="6"/>
  <c r="O178" i="6"/>
  <c r="O177" i="6"/>
  <c r="O176" i="6"/>
  <c r="O175" i="6"/>
  <c r="O174" i="6"/>
  <c r="O173" i="6"/>
  <c r="O172" i="6"/>
  <c r="O171" i="6"/>
  <c r="O170" i="6"/>
  <c r="O169" i="6"/>
  <c r="O168" i="6"/>
  <c r="O167" i="6"/>
  <c r="O166" i="6"/>
  <c r="O165" i="6"/>
  <c r="O164" i="6"/>
  <c r="O163" i="6"/>
  <c r="O162" i="6"/>
  <c r="O161" i="6"/>
  <c r="O160" i="6"/>
  <c r="O159" i="6"/>
  <c r="O158" i="6"/>
  <c r="O157" i="6"/>
  <c r="O156" i="6"/>
  <c r="O155" i="6"/>
  <c r="O154" i="6"/>
  <c r="O153" i="6"/>
  <c r="O152" i="6"/>
  <c r="O151" i="6"/>
  <c r="O150" i="6"/>
  <c r="O149" i="6"/>
  <c r="O148" i="6"/>
  <c r="O147" i="6"/>
  <c r="O146" i="6"/>
  <c r="O145" i="6"/>
  <c r="O144" i="6"/>
  <c r="O143" i="6"/>
  <c r="O142" i="6"/>
  <c r="O141" i="6"/>
  <c r="O140" i="6"/>
  <c r="O139" i="6"/>
  <c r="O138" i="6"/>
  <c r="O137" i="6"/>
  <c r="O136" i="6"/>
  <c r="O135" i="6"/>
  <c r="O134" i="6"/>
  <c r="O133" i="6"/>
  <c r="O132" i="6"/>
  <c r="O131" i="6"/>
  <c r="O130" i="6"/>
  <c r="O129" i="6"/>
  <c r="O128" i="6"/>
  <c r="O127" i="6"/>
  <c r="O126" i="6"/>
  <c r="O125" i="6"/>
  <c r="O124" i="6"/>
  <c r="O123" i="6"/>
  <c r="O122" i="6"/>
  <c r="O121" i="6"/>
  <c r="O120" i="6"/>
  <c r="O119" i="6"/>
  <c r="O118" i="6"/>
  <c r="O117" i="6"/>
  <c r="O116" i="6"/>
  <c r="O115" i="6"/>
  <c r="O114" i="6"/>
  <c r="O113" i="6"/>
  <c r="O112" i="6"/>
  <c r="O111" i="6"/>
  <c r="O110" i="6"/>
  <c r="O109" i="6"/>
  <c r="O108" i="6"/>
  <c r="O107" i="6"/>
  <c r="O106" i="6"/>
  <c r="O105" i="6"/>
  <c r="O104" i="6"/>
  <c r="O103" i="6"/>
  <c r="O102" i="6"/>
  <c r="O101" i="6"/>
  <c r="O100" i="6"/>
  <c r="O99" i="6"/>
  <c r="O98" i="6"/>
  <c r="O97" i="6"/>
  <c r="O96" i="6"/>
  <c r="O95" i="6"/>
  <c r="O94" i="6"/>
  <c r="O93" i="6"/>
  <c r="O92" i="6"/>
  <c r="O91" i="6"/>
  <c r="O90" i="6"/>
  <c r="O89" i="6"/>
  <c r="O88" i="6"/>
  <c r="O87" i="6"/>
  <c r="O86" i="6"/>
  <c r="O85" i="6"/>
  <c r="O84" i="6"/>
  <c r="O83" i="6"/>
  <c r="O82" i="6"/>
  <c r="O81" i="6"/>
  <c r="O80" i="6"/>
  <c r="O79" i="6"/>
  <c r="O78" i="6"/>
  <c r="O77" i="6"/>
  <c r="O76" i="6"/>
  <c r="O75" i="6"/>
  <c r="O74" i="6"/>
  <c r="O73" i="6"/>
  <c r="O72" i="6"/>
  <c r="O71" i="6"/>
  <c r="O70" i="6"/>
  <c r="O69" i="6"/>
  <c r="O68" i="6"/>
  <c r="O67" i="6"/>
  <c r="O66" i="6"/>
  <c r="O65" i="6"/>
  <c r="O64" i="6"/>
  <c r="O63" i="6"/>
  <c r="O62" i="6"/>
  <c r="O61" i="6"/>
  <c r="O60" i="6"/>
  <c r="O59" i="6"/>
  <c r="O58" i="6"/>
  <c r="O57" i="6"/>
  <c r="O56" i="6"/>
  <c r="O55" i="6"/>
  <c r="O54" i="6"/>
  <c r="O53" i="6"/>
  <c r="O52" i="6"/>
  <c r="O51" i="6"/>
  <c r="O50" i="6"/>
  <c r="O49" i="6"/>
  <c r="O48" i="6"/>
  <c r="O47" i="6"/>
  <c r="O46" i="6"/>
  <c r="O45" i="6"/>
  <c r="O44" i="6"/>
  <c r="O43" i="6"/>
  <c r="O42" i="6"/>
  <c r="O41" i="6"/>
  <c r="O40" i="6"/>
  <c r="O39" i="6"/>
  <c r="O38" i="6"/>
  <c r="O37" i="6"/>
  <c r="O36" i="6"/>
  <c r="O35" i="6"/>
  <c r="O34" i="6"/>
  <c r="O33" i="6"/>
  <c r="O32" i="6"/>
  <c r="O31" i="6"/>
  <c r="O30" i="6"/>
  <c r="O29" i="6"/>
  <c r="O28" i="6"/>
  <c r="O27" i="6"/>
  <c r="O26" i="6"/>
  <c r="O25" i="6"/>
  <c r="O24" i="6"/>
  <c r="O23" i="6"/>
  <c r="O22" i="6"/>
  <c r="O21" i="6"/>
  <c r="O20" i="6"/>
  <c r="O19" i="6"/>
  <c r="O18" i="6"/>
  <c r="O17" i="6"/>
  <c r="O16" i="6"/>
  <c r="O15" i="6"/>
  <c r="O14" i="6"/>
  <c r="O13" i="6"/>
  <c r="O12" i="6"/>
  <c r="O11" i="6"/>
  <c r="O10" i="6"/>
  <c r="O9" i="6"/>
  <c r="O8" i="6"/>
  <c r="O7" i="6"/>
  <c r="O6" i="6"/>
  <c r="O5" i="6"/>
  <c r="O4" i="6"/>
  <c r="O3" i="6"/>
  <c r="P3" i="6" l="1"/>
  <c r="K391" i="6"/>
</calcChain>
</file>

<file path=xl/sharedStrings.xml><?xml version="1.0" encoding="utf-8"?>
<sst xmlns="http://schemas.openxmlformats.org/spreadsheetml/2006/main" count="3619" uniqueCount="745">
  <si>
    <t>No</t>
  </si>
  <si>
    <t>Permenko</t>
  </si>
  <si>
    <t>Tidak Ada Data</t>
  </si>
  <si>
    <t>PSN</t>
  </si>
  <si>
    <t>K_L_Penanggungjawab</t>
  </si>
  <si>
    <t>Data_PSI</t>
  </si>
  <si>
    <t>Makan Bergizi Gratis</t>
  </si>
  <si>
    <t>Kepala Badan Gizi Nasional</t>
  </si>
  <si>
    <t>Pembangunan Satuan Pelayanan Pemenuhan Gizi</t>
  </si>
  <si>
    <t>Menteri Pekerjaan Umum</t>
  </si>
  <si>
    <t>Pembangunan Sekolah Rakyat</t>
  </si>
  <si>
    <t>Menteri Sosial dan Menteri Pekerjaan Umum</t>
  </si>
  <si>
    <t>Digitalisasi Pembelajaran Sekolah dan Satuan Pendidikan Nonformal</t>
  </si>
  <si>
    <t>Menteri Pendidikan Dasar dan Menengah</t>
  </si>
  <si>
    <t>Digitalisasi Pembelajaran Madrasah dan Satuan Pendidikan Bercirikan Agama</t>
  </si>
  <si>
    <t>Menteri Agama</t>
  </si>
  <si>
    <t>Kartu Usaha Afirmatif</t>
  </si>
  <si>
    <t>Menteri Sosial</t>
  </si>
  <si>
    <t>Kartu Kesejahteraan</t>
  </si>
  <si>
    <t>Koperasi Desa/Kelurahan Merah Putih</t>
  </si>
  <si>
    <t>Menteri Koperasi</t>
  </si>
  <si>
    <t>Reformasi Tata Kelola Persampahan</t>
  </si>
  <si>
    <t>Menteri Lingkungan Hidup/Kepala Badan Pengendalian Lingkungan Hidup</t>
  </si>
  <si>
    <t>PSEL Provinsi DKI Jakarta</t>
  </si>
  <si>
    <t>Gubernur DKI Jakarta</t>
  </si>
  <si>
    <t>PSEL Tangerang Raya</t>
  </si>
  <si>
    <t>Gubernur Banten</t>
  </si>
  <si>
    <t>PSEL Bekasi Raya</t>
  </si>
  <si>
    <t>Gubernur Jawa Barat</t>
  </si>
  <si>
    <t>PSEL Bogor Raya</t>
  </si>
  <si>
    <t>PSEL Bandung Raya</t>
  </si>
  <si>
    <t>PSEL Semarang Raya</t>
  </si>
  <si>
    <t>Gubernur Jawa Tengah</t>
  </si>
  <si>
    <t>PSEL Yogyakarta Raya</t>
  </si>
  <si>
    <t>Gubernur DI Yogyakarta</t>
  </si>
  <si>
    <t>PSEL Medan Raya</t>
  </si>
  <si>
    <t>Gubernur Sumatera Utara</t>
  </si>
  <si>
    <t>PSEL Kota Makassar</t>
  </si>
  <si>
    <t>Gubernur Sulawesi Selatan</t>
  </si>
  <si>
    <t>PSEL Denpasar Raya</t>
  </si>
  <si>
    <t>Gubernur Bali</t>
  </si>
  <si>
    <t>PSEL Kota Palembang</t>
  </si>
  <si>
    <t>Gubernur Sumatera Selatan</t>
  </si>
  <si>
    <t>Tata Kelola dan Penguatan Hulu</t>
  </si>
  <si>
    <t>Menteri PPN/Kepala Bappenas</t>
  </si>
  <si>
    <t>Pembangunan Pabrik Kelapa Sawit (PKS) Pekebun Rakyat</t>
  </si>
  <si>
    <t>Menteri Pertanian</t>
  </si>
  <si>
    <t>Pengembangan Pabrik Minyak Sawit Merah Putih</t>
  </si>
  <si>
    <t>Menteri Perindustrian</t>
  </si>
  <si>
    <t>Program Pengembangan Mobil Nasional</t>
  </si>
  <si>
    <t>Menteri Pertahanan</t>
  </si>
  <si>
    <t>Program Pengembangan Motor Listrik Nasional</t>
  </si>
  <si>
    <t>Pembangunan Kampus Universitas Islam Internasional Indonesia</t>
  </si>
  <si>
    <t>Pembangunan, Rehabilitasi, dan Renovasi Madrasah</t>
  </si>
  <si>
    <t>Cetak Sawah</t>
  </si>
  <si>
    <t>Pengembangan Peternakan</t>
  </si>
  <si>
    <t>Menteri Pertanian, dan Kepala Badan Pengaturan BUMN</t>
  </si>
  <si>
    <t>Proyek Bioetanol (berbasis Tebu)</t>
  </si>
  <si>
    <t>Menteri Energi dan Sumber Daya Mineral</t>
  </si>
  <si>
    <t>Pengembangan Sawit</t>
  </si>
  <si>
    <t>Menteri Pertanian, Menteri ESDM, dan Kepala Badan Pengaturan BUMN</t>
  </si>
  <si>
    <t>Jalan Wanam-Muting</t>
  </si>
  <si>
    <t>Pembangunan Pelabuhan Wanam</t>
  </si>
  <si>
    <t>Menteri Perhubungan</t>
  </si>
  <si>
    <t>Proyek Ketahanan Pangan Melalui Perhutanan Berbasis Masyarakat</t>
  </si>
  <si>
    <t>Menteri Kehutanan</t>
  </si>
  <si>
    <t>Pembangunan Jaringan Irigasi Daerah Irigasi Lhok Guci</t>
  </si>
  <si>
    <t>Pembangunan Jaringan Irigasi Daerah Irigasi Jambo Aye Kanan</t>
  </si>
  <si>
    <t>Pengembangan Lahan Sawah Rawa Pasang Surut Tanah Mineral dan Rawa Lebak Tanah Mineral</t>
  </si>
  <si>
    <t>Pembangunan Instalasi Karantina Hewan Pelabuhan Tanjung Intan Cilacap</t>
  </si>
  <si>
    <t>Kepala Badan Karantina Indonesia</t>
  </si>
  <si>
    <t>Revitalisasi Tambak Pantura</t>
  </si>
  <si>
    <t>Menteri Kelautan dan Perikanan</t>
  </si>
  <si>
    <t>Pengembangan Budi Daya Udang Terintegrasi</t>
  </si>
  <si>
    <t>Peningkatan Produksi Daging Sapi</t>
  </si>
  <si>
    <t>Peningkatan Produksi Daging dan Susu Sapi</t>
  </si>
  <si>
    <t>Bendungan Way Apu</t>
  </si>
  <si>
    <t>Bendungan Lolak</t>
  </si>
  <si>
    <t>Bendungan Bulango Ulu</t>
  </si>
  <si>
    <t>Bendungan Ameroro</t>
  </si>
  <si>
    <t>Bendungan Ladongi</t>
  </si>
  <si>
    <t>Bendungan Budong-Budong</t>
  </si>
  <si>
    <t>Bendungan Pamukkulu</t>
  </si>
  <si>
    <t>Bendungan Mbay</t>
  </si>
  <si>
    <t>Bendungan Napun Gete</t>
  </si>
  <si>
    <t>Bendungan Temef</t>
  </si>
  <si>
    <t>Bendungan Manikin</t>
  </si>
  <si>
    <t>Bendungan Marangkayu</t>
  </si>
  <si>
    <t>Bendungan Sepaku Semoi</t>
  </si>
  <si>
    <t>Bendungan Bagong</t>
  </si>
  <si>
    <t>Bendungan Karangnongko</t>
  </si>
  <si>
    <t>Bendungan Bener</t>
  </si>
  <si>
    <t>Bendungan Jlantah</t>
  </si>
  <si>
    <t>Bendungan Jragung</t>
  </si>
  <si>
    <t>Bendungan Karian</t>
  </si>
  <si>
    <t>Bendungan Cipanas</t>
  </si>
  <si>
    <t>Bendungan Keureuto</t>
  </si>
  <si>
    <t>Bendungan Rukoh dan Bangunan Pengarah Bendungan Rukoh</t>
  </si>
  <si>
    <t>Bendungan Lausimeme</t>
  </si>
  <si>
    <t>Bendungan Tiga Dihaji</t>
  </si>
  <si>
    <t>Bendungan Way Sekampung</t>
  </si>
  <si>
    <t>Bendungan Marga Tiga</t>
  </si>
  <si>
    <t>Bendungan Jenelata</t>
  </si>
  <si>
    <t>Sarana dan Prasarana Air Baku Karian</t>
  </si>
  <si>
    <t>SPAM Umbulan</t>
  </si>
  <si>
    <t>SPAM Semarang Barat</t>
  </si>
  <si>
    <t>SPAM Regional Wosusokas</t>
  </si>
  <si>
    <t>SPAM Regional Jatiluhur</t>
  </si>
  <si>
    <t>SPAM Regional Karian-Serpong</t>
  </si>
  <si>
    <t>SPAM Regional Benteng-Kobema (Bengkulu Tengah, Kota Bengkulu, dan Seluma)</t>
  </si>
  <si>
    <t>SPAM Kota Bandar Lampung</t>
  </si>
  <si>
    <t>Kilang Minyak GRR Tuban</t>
  </si>
  <si>
    <t>Upgrading Kilang Eksisting/Refinery Development Master Plan (RDMP) RU V Balikpapan</t>
  </si>
  <si>
    <t>Upgrading Kilang Eksisting/Refinery Development Master Plan (RDMP) RU II Dumai</t>
  </si>
  <si>
    <t>Upgrading Kilang Eksisting/Refinery Development Master Plan (RDMP) RU III Plaju</t>
  </si>
  <si>
    <t>Upgrading Kilang Eksisting/Refinery Development Master Plan (RDMP) RU IV Cilacap (Rescoping)</t>
  </si>
  <si>
    <t>Upgrading Kilang Eksisting/Refinery Development Master Plan (RDMP) RU VI Balongan</t>
  </si>
  <si>
    <t>Konstruksi Tangki Penyimpanan LPG (Kupang)</t>
  </si>
  <si>
    <t>Pembangunan Jaringan Gas Kota Provinsi DKI Jakarta, Provinsi Kepulauan Riau, Provinsi Riau, Provinsi Sumatera Selatan, dan Provinsi Jawa Barat</t>
  </si>
  <si>
    <t>Pembangunan Pipa Transmisi Gas Bumi Ruas Cirebon - Semarang (Tahap I Ruas Semarang - Batang dan Tahap II Ruas Batang - Indramayu)</t>
  </si>
  <si>
    <t>Pembangunan Pipa Transmisi Dumai-Sei Mangkei</t>
  </si>
  <si>
    <t>Biorefinery Cilacap</t>
  </si>
  <si>
    <t>Pengembangan Biofuel dari Metanol dan Etanol di Kabupaten Bojonegoro</t>
  </si>
  <si>
    <t>Menteri Investasi dan Hilirisasi/Kepala BKPM</t>
  </si>
  <si>
    <t>PLTP Hululais</t>
  </si>
  <si>
    <t>PLTP Lumut Balai Unit 3</t>
  </si>
  <si>
    <t>PLTP Lahendong Unit 7 dan 8</t>
  </si>
  <si>
    <t>PLTP Hamiding</t>
  </si>
  <si>
    <t>Proyek Pembangunan PLTS Terapung Tembesi</t>
  </si>
  <si>
    <t>Pengembangan Pembangkit Listrik Tenaga Air Sungai Mentarang di Kalimantan Utara</t>
  </si>
  <si>
    <t>Proyek Pembangunan PLTS Skala Besar di Kepulauan Riau</t>
  </si>
  <si>
    <t>PLTS Skala Besar Pulau Rempang</t>
  </si>
  <si>
    <t>Pengembangan Lapangan Abadi Wilayah Kerja Masela</t>
  </si>
  <si>
    <t>Pengembangan Lapangan Gendalo dan Gandang (Indonesia Deepwater Development Project/IDD)</t>
  </si>
  <si>
    <t>Pengembangan Lapangan Gas Asap, Kido, dan Merah (AKM)</t>
  </si>
  <si>
    <t>Pengembangan Lapangan Geng North WK North Ganal dan Lapangan Gehem WK Ganal dan WK Rapak (North Hub Development Project Makassar)</t>
  </si>
  <si>
    <t>Pengembangan Lapangan Ubadari, CCUS, dan Compresion (UCC Project) di Teluk Bintuni</t>
  </si>
  <si>
    <t>Pengembangan Wilayah Andaman</t>
  </si>
  <si>
    <t>Wilayah Kerja Gas Metana Batubara (GMB) Tanjung Enim</t>
  </si>
  <si>
    <t>Jalan Tol Manado - Bitung</t>
  </si>
  <si>
    <t>Jalan Tol Balikpapan - Samarinda</t>
  </si>
  <si>
    <t>Pembangunan Jalan Tol Gilimanuk - Negara - Pekutatan - Soka - Mengwi</t>
  </si>
  <si>
    <t>Jalan Tol Pandaan - Malang</t>
  </si>
  <si>
    <t>Jalan Tol Pasuruan - Probolinggo</t>
  </si>
  <si>
    <t>Jalan Tol Probolinggo - Banyuwangi</t>
  </si>
  <si>
    <t>Penambahan Lingkup Jalan Tol Ngawi - Kertosono - Kediri</t>
  </si>
  <si>
    <t>Penambahan Lingkup Jalan Tol Solo - Yogyakarta - Kulon Progo</t>
  </si>
  <si>
    <t>Jalan Tol Yogyakarta - Bawen</t>
  </si>
  <si>
    <t>Jalan Tol Semarang - Demak</t>
  </si>
  <si>
    <t>Jalan Tol Gedebage - Tasikmalaya - Cilacap</t>
  </si>
  <si>
    <t>Jalan Tol Cileunyi - Sumedang - Dawuan</t>
  </si>
  <si>
    <t>Jalan Tol Ciawi - Sukabumi - Ciranjang - Padalarang</t>
  </si>
  <si>
    <t>Jalan Tol Cimanggis - Cibitung</t>
  </si>
  <si>
    <t>Penambahan Lingkup Jalan Tol Depok - Antasari</t>
  </si>
  <si>
    <t>Penambahan Lingkup Jalan Tol Bogor Ring Road</t>
  </si>
  <si>
    <t>Jalan Tol Akses Pelabuhan Patimban</t>
  </si>
  <si>
    <t>Jalan Tol Cinere - Jagorawi</t>
  </si>
  <si>
    <t>Jalan Tol Cibitung - Cilincing</t>
  </si>
  <si>
    <t>Jalan Tol Bekasi - Cawang - Kampung Melayu</t>
  </si>
  <si>
    <t>Jalan Tol Jakarta - Cikampek II Sisi Selatan</t>
  </si>
  <si>
    <t>Jalan Tol Cengkareng - Batu Ceper - Kunciran</t>
  </si>
  <si>
    <t>Jalan Tol Serpong - Cinere</t>
  </si>
  <si>
    <t>Pengembangan Jalan Tol Ir. Wiyoto Wiyono, M.Sc. Section Harbour Road II (Pembangunan Jalan Tol Ancol Timur - Pluit (Elevated)</t>
  </si>
  <si>
    <t>Jalan Tol Serang - Panimbang</t>
  </si>
  <si>
    <t>Jalan Tol Serpong - Balaraja</t>
  </si>
  <si>
    <t>Jalan Tol Kediri - Tulungagung</t>
  </si>
  <si>
    <t>Jalan Tol Kamal - Teluk Naga - Rajeg (JORR III)</t>
  </si>
  <si>
    <t>Jalan Tol JORR Elevated (Cikunir - Ulujami)</t>
  </si>
  <si>
    <t>Jalan Tol Bogor - Serpong (via Parung) (JORR III)</t>
  </si>
  <si>
    <t>Jalan Tol Sentul Selatan - Karawang Barat (JORR III)</t>
  </si>
  <si>
    <t>Jalan Pansela Jawa</t>
  </si>
  <si>
    <t>Penuntasan Missing Link Jalan Nasional Provinsi Aceh</t>
  </si>
  <si>
    <t>Penuntasan Missing Link Jalan Nasional Provinsi Kalimantan Tengah</t>
  </si>
  <si>
    <t>Penuntasan Missing Link Jalan Nasional Provinsi Gorontalo</t>
  </si>
  <si>
    <t>Jalan Trans Papua Ruas Jayapura - Wamena Segmen Mamberamo - Elelim</t>
  </si>
  <si>
    <t>Jalan dan Jembatan Banjarbaru-Batulicin-Pulau Laut, Provinsi Kalimantan Selatan</t>
  </si>
  <si>
    <t>Program Pembangunan Flyover Panorama I (Sitinjau Lauik)</t>
  </si>
  <si>
    <t>Pembangunan Akses Pelabuhan Tanjung Priok Timur Baru/New Priok Eastern Access (NPEA)</t>
  </si>
  <si>
    <t>Kepala Badan Pengaturan BUMN</t>
  </si>
  <si>
    <t>Jalan Tol Sigli - Banda Aceh - bagian dari Trans Sumatera</t>
  </si>
  <si>
    <t>Jalan Tol Binjai - Langsa - bagian dari Trans Sumatera</t>
  </si>
  <si>
    <t>Jalan Tol Medan - Binjai - bagian dari Trans Sumatera</t>
  </si>
  <si>
    <t>Jalan Tol Kisaran - Tebing Tinggi - bagian dari Trans Sumatera</t>
  </si>
  <si>
    <t>Jalan Tol Tebing Tinggi - Pematang Siantar - Prapat - Tarutung - Sibolga - bagian dari Trans Sumatera</t>
  </si>
  <si>
    <t>Jalan Tol Bukittinggi - Padang Panjang - Lubuk Alung - Padang - bagian dari Trans Sumatera</t>
  </si>
  <si>
    <t>Jalan Tol Pekanbaru - Bangkinang - Payakumbuh - Bukittinggi - bagian dari Trans Sumatera</t>
  </si>
  <si>
    <t>Jalan Tol Rengat - Pekanbaru - bagian dari Trans Sumatera</t>
  </si>
  <si>
    <t>Jalan Tol Pekanbaru - Kandis - Dumai - bagian dari Trans Sumatera</t>
  </si>
  <si>
    <t>Jalan Tol Jambi - Rengat - bagian dari Trans Sumatera</t>
  </si>
  <si>
    <t>Jalan Tol Betung (Sp. Sekayu) - Tempino - Jambi - bagian dari Trans Sumatera</t>
  </si>
  <si>
    <t>Jalan Tol Simpang Indralaya - Muara Enim - bagian dari Trans Sumatera</t>
  </si>
  <si>
    <t>Jalan Tol Kayu Agung - Palembang - Betung</t>
  </si>
  <si>
    <t>Jalan Tol Dumai - Sp. Sigambal - Rantau Prapat</t>
  </si>
  <si>
    <t>Jalan Tol Pelabuhan Panjang - Lematang</t>
  </si>
  <si>
    <t>Jalan Tol Semanan - Sunter - bagian dari 6 ruas tol DKI Jakarta</t>
  </si>
  <si>
    <t>Jalan Tol Sunter - Pulo Gebang - bagian dari 6 ruas tol DKI Jakarta</t>
  </si>
  <si>
    <t>Jalan Tol Duri Pulo - Kampung Melayu - bagian dari 6 ruas tol DKI Jakarta</t>
  </si>
  <si>
    <t>Jalan Tol Kemayoran - Kampung Melayu - bagian dari 6 ruas tol DKI Jakarta</t>
  </si>
  <si>
    <t>Jalan Tol Ulujami - Tanah Abang - bagian dari 6 ruas tol DKI Jakarta</t>
  </si>
  <si>
    <t>Jalan Tol Pasar Minggu - Casablanca - bagian dari 6 ruas tol DKI Jakarta</t>
  </si>
  <si>
    <t>Pengembangan Jalan Akses Exit Tol Jalan Tol Jakarta-Cikampek (KM 42)</t>
  </si>
  <si>
    <t>Pengembangan Jalan Akses Exit Tol Jalan Tol Padalarang-Cileunyi (KM 151)</t>
  </si>
  <si>
    <t>Pembangunan Pelabuhan Patimban</t>
  </si>
  <si>
    <t>Pengembangan Pelabuhan Benoa (Bali Maritime Tourism Hub)</t>
  </si>
  <si>
    <t>Pembangunan Pelabuhan Terminal Peti Kemas Muaro Jambi</t>
  </si>
  <si>
    <t>Kereta Api Makassar - Parepare (Tahap I dari Pengembangan Jalur Lintas Barat Sulawesi Bagian Selatan)</t>
  </si>
  <si>
    <t>Kereta Api Tebing Tinggi - Kuala Tanjung (mendukung KEK Sei Mangkei, bagian dari Jaringan Kereta Api Trans Sumatera)</t>
  </si>
  <si>
    <t>Kereta Api Rantau Prapat - Kota Pinang</t>
  </si>
  <si>
    <t>Kereta Api Akses Bandar Udara Baru Yogyakarta - Kulon Progo</t>
  </si>
  <si>
    <t>Double Track Jawa Selatan</t>
  </si>
  <si>
    <t>High Speed Railway Jakarta - Bandung</t>
  </si>
  <si>
    <t>Kereta Api Logistik Lahat - Kertapati</t>
  </si>
  <si>
    <t>Light Rail Transit (LRT) Provinsi Sumatera Selatan (Metro Palembang)</t>
  </si>
  <si>
    <t>Penyelenggaraan Kereta Api Ringan/Light Rail Transit (LRT) Terintegrasi di Wilayah Jakarta, Bogor, Depok, dan Bekasi</t>
  </si>
  <si>
    <t>Light Rail Transit (LRT) Jakarta Segmen Velodrome – Manggarai</t>
  </si>
  <si>
    <t>Jakarta Mass Rapid Transit (MRT) North - South (Bundaran HI – Kota – Ancol Barat)</t>
  </si>
  <si>
    <t>Mass Rapid Transit (MRT) Jakarta East - West Phase I</t>
  </si>
  <si>
    <t>Penyediaan Peta Dasar Skala Besar (1:5.000) Wilayah Darat Seluruh Indonesia</t>
  </si>
  <si>
    <t>Kepala Badan Informasi Geospasial</t>
  </si>
  <si>
    <t>Proyek Pariwisata Seribu Pulau di Kepulauan Seribu</t>
  </si>
  <si>
    <t>Menteri Pariwisata</t>
  </si>
  <si>
    <t>Kawasan Pesisir Terpadu Surabaya Waterfront Land (SWL)</t>
  </si>
  <si>
    <t>Penataan Kawasan Pusat Pemerintahan (KPP) Daerah Otonomi Baru di Papua</t>
  </si>
  <si>
    <t>Menteri Dalam Negeri</t>
  </si>
  <si>
    <t>Kawasan Terintegrasi Merak – Bakauheni</t>
  </si>
  <si>
    <t>Pembangunan Ibu Kota Negara</t>
  </si>
  <si>
    <t>Kepala Otorita Ibu Kota Nusantara</t>
  </si>
  <si>
    <t>Pembangunan Tanggul Laut Pantai Utara Jawa</t>
  </si>
  <si>
    <t>Kepala Badan Otorita Pengelola Pantai Utara Jawa dan Menteri Pekerjaan Umum</t>
  </si>
  <si>
    <t>Destinasi Pariwisata Super Prioritas Danau Toba</t>
  </si>
  <si>
    <t>Destinasi Pariwisata Super Prioritas Borobudur</t>
  </si>
  <si>
    <t>Destinasi Pariwisata Super Prioritas Labuan Bajo</t>
  </si>
  <si>
    <t>Pengembangan Kawasan Rempang Eco-City</t>
  </si>
  <si>
    <t>Kepala Badan Pengusahaan Batam</t>
  </si>
  <si>
    <t>Pembangunan Pos Lintas Batas Negara dan Sarana Prasarana Penunjang di Kawasan Perbatasan Terpadu Long Midang, Kecamatan Krayan, Kabupaten Nunukan</t>
  </si>
  <si>
    <t>Kepala Badan Nasional Pengelola Perbatasan</t>
  </si>
  <si>
    <t>Jalan dan Jembatan Koridor Perbatasan Malinau - Semamu - Long Midang, Provinsi Kalimantan Utara</t>
  </si>
  <si>
    <t>Pembangunan Simpang Tidak Sebidang</t>
  </si>
  <si>
    <t>Pembangunan Infrastruktur Pengendalian Banjir</t>
  </si>
  <si>
    <t>Pengembangan Infrastruktur Transportasi</t>
  </si>
  <si>
    <t>Pengembangan Fasilitas Pengolahan Sampah Terpadu</t>
  </si>
  <si>
    <t>Gasifikasi Batubara di Muara Enim</t>
  </si>
  <si>
    <t>Gasifikasi Batubara di Kutai Timur</t>
  </si>
  <si>
    <t>Pembangunan Pabrik Chlor Alkali dan Ethylene Dichloride (CA-EDC)</t>
  </si>
  <si>
    <t>Fasilitas Pemurnian Tembaga Terintegrasi dengan Tambang di Blok Batu Hijau, Blok Lampui dan Blok Elang</t>
  </si>
  <si>
    <t>Proyek Terpadu Pengembangan Mineral Kritis Tembaga dan Energi Panas Bumi Hu'u di Kabupaten Dompu</t>
  </si>
  <si>
    <t>Pembangunan Fasilitas Pengolahan dan Pemurnian Komoditas Nikel 1 (satu) fasilitas yang dilaksanakan oleh badan usaha di Halmahera Timur</t>
  </si>
  <si>
    <t>Pembangunan Fasilitas Pengolahan dan Pemurnian Komoditas Bauksit 1 (satu) fasilitas yang dilaksanakan oleh badan usaha di Sanggau Kalimantan Barat</t>
  </si>
  <si>
    <t>Pembangunan Fasilitas Pengolahan dan Pemurnian Komoditas Bauksit 1 (satu) fasilitas yang dilaksanakan oleh badan usaha di Lingga Kepulauan Riau</t>
  </si>
  <si>
    <t>Pembangunan Fasilitas Pengolahan dan Pemurnian Komoditas Nikel Terintegrasi dengan Penambangan 1 (satu) fasilitas terintegrasi yang dilaksanakan oleh 2 (dua) badan usaha di Morowali Sulawesi Tengah</t>
  </si>
  <si>
    <t>Pembangunan Fasilitas Pengolahan dan Pemurnian Komoditas Nikel Terintegrasi dengan Penambangan 1 (satu) fasilitas terintegrasi yang dilaksanakan oleh 2 (dua) badan usaha di Kolaka Sulawesi Tenggara</t>
  </si>
  <si>
    <t>Pembangunan Fasilitas Pengolahan dan Pemurnian Komoditas Nikel Terintegrasi dgn Penambangan serta Kawasan Industri dalam rangka Pengembangan EV Battery Nasional yg dilaksanakan oleh badan usaha di Halmahera Timur Maluku Utara</t>
  </si>
  <si>
    <t>Pembangunan Fasilitas Pengolahan dan Pemurnian Alumina Terpadu 1 (satu) fasilitas pengolahan dan pemurnian bauksit oleh badan usaha di Mempawah Kalimantan Barat</t>
  </si>
  <si>
    <t>Pembangunan Fasilitas Pengolahan dan Pemurnian Alumina Terpadu 1 (satu) fasilitas pengolahan dan pemurnian bauksit oleh badan usaha di Mempawah Kalimantan Barat yang terintegrasi dengan pembangunan smelter di Kuala Tanjung Sumatera Utara</t>
  </si>
  <si>
    <t>Kawasan Industri Pupuk Fakfak</t>
  </si>
  <si>
    <t>Kawasan Industri Teluk Bintuni dan Pengembangan Industri Metanol, Amonia, dan Pemanfaatan Karbon dari hasil CCUS/CCS di Teluk Bintuni</t>
  </si>
  <si>
    <t>Kawasan Industri Pulau Obi</t>
  </si>
  <si>
    <t>Kawasan Industri Weda Bay</t>
  </si>
  <si>
    <t>Kawasan Industri Konawe</t>
  </si>
  <si>
    <t>Kawasan Industri Indonesia Konawe Industrial Park (IKIP)</t>
  </si>
  <si>
    <t>Kawasan Industri Indonesia Pomalaa Industry Park</t>
  </si>
  <si>
    <t>Kawasan Industri Motui</t>
  </si>
  <si>
    <t>Kawasan Industri Kendari</t>
  </si>
  <si>
    <t>Kawasan Industri Indonesia Giga Industry Park (IGIP)</t>
  </si>
  <si>
    <t>Kawasan Industri Kolaka Resources Industrial Park (KRIP)</t>
  </si>
  <si>
    <t>Kawasan Industri ASPIRE Stargate (ASPR)</t>
  </si>
  <si>
    <t>Kawasan Industri Tekno Hijau Konasara (KITHK)</t>
  </si>
  <si>
    <t>Kawasan Industri Indo Mineral Mining</t>
  </si>
  <si>
    <t>Kawasan Industri Neo Energy Morowali Industrial Estate (NEMIE)</t>
  </si>
  <si>
    <t>Kawasan Industri Morowali</t>
  </si>
  <si>
    <t>Kawasan Industri Indonesia Huabao Industrial Park</t>
  </si>
  <si>
    <t>Kawasan Industri Indonesia Dahuaxing Industry Park (IDIP)</t>
  </si>
  <si>
    <t>Kawasan Industri Neo Energy Parimo Industrial Estate (NEPIE)</t>
  </si>
  <si>
    <t>Kawasan Industri Bantaeng</t>
  </si>
  <si>
    <t>Kawasan Industri Takalar</t>
  </si>
  <si>
    <t>Kawasan Industri Indonesia Huali Industry Park (IHIP)</t>
  </si>
  <si>
    <t>Kawasan Industri Tanah Kuning</t>
  </si>
  <si>
    <t>Kawasan Industri Jorong</t>
  </si>
  <si>
    <t>Kawasan Industri Kumai Multi Energi</t>
  </si>
  <si>
    <t>Kawasan Industri Sungai Tabuk</t>
  </si>
  <si>
    <t>Kawasan Industri Rimau</t>
  </si>
  <si>
    <t>Kawasan Industri Landak</t>
  </si>
  <si>
    <t>Kawasan Industri Ketapang</t>
  </si>
  <si>
    <t>Kawasan Industri Pulau Penebang</t>
  </si>
  <si>
    <t>Kawasan Industri Alumina Toba</t>
  </si>
  <si>
    <t>Kawasan Industri Terpadu Batang</t>
  </si>
  <si>
    <t>Kawasan Industri Patimban Industrial Estate</t>
  </si>
  <si>
    <t>Kawasan Industri Wilmar Serang</t>
  </si>
  <si>
    <t>Kawasan Industri Tanjung Enim</t>
  </si>
  <si>
    <t>Kawasan Industri Hijau Futong</t>
  </si>
  <si>
    <t>Kawasan Industri Tanjung Sauh</t>
  </si>
  <si>
    <t>Kawasan Industri Pulau Ladi</t>
  </si>
  <si>
    <t>Kawasan Industri Wiraraja Green Renewable Energy &amp; Smart-Eco Industrial Park (GESEIP)</t>
  </si>
  <si>
    <t>Pengembangan Kawasan Industri Toapaya, Pulau Poto, dan Kampung Masiran</t>
  </si>
  <si>
    <t>Kawasan Industri Kuala Tanjung</t>
  </si>
  <si>
    <t>Pembangunan Kelapa Dalam dan Industri Turunannya</t>
  </si>
  <si>
    <t>Pembangunan Kawasan Sentra Industri Garam Nasional (K-SIGN)</t>
  </si>
  <si>
    <t>Pembangunan Kawasan Industri Seafer</t>
  </si>
  <si>
    <t>Integrasi Grup PT Perkebunan Nusantara</t>
  </si>
  <si>
    <t>Kepala Badan Pengaturan BUMN/Kepala Badan Pengelolaan Investasi Danantara</t>
  </si>
  <si>
    <t>Pembangunan Industri Pertahanan Nasional</t>
  </si>
  <si>
    <t>KEK Arun Lhokseumawe</t>
  </si>
  <si>
    <t>Menteri Koordinator Bidang Perekonomian/Ketua Dewan Nasional KEK</t>
  </si>
  <si>
    <t>KEK Sei Mangkei</t>
  </si>
  <si>
    <t>KEK Galang Batang</t>
  </si>
  <si>
    <t>KEK Gresik</t>
  </si>
  <si>
    <t>KEK Mandalika</t>
  </si>
  <si>
    <t>KEK Sanur</t>
  </si>
  <si>
    <t>KEK Nongsa</t>
  </si>
  <si>
    <t>KEK Lido</t>
  </si>
  <si>
    <t>KEK Singhasari</t>
  </si>
  <si>
    <t>KEK Kura Kura Bali</t>
  </si>
  <si>
    <t>KEK Tanjung Lesung</t>
  </si>
  <si>
    <t>KEK Tanjung Kelayang</t>
  </si>
  <si>
    <t>KEK Morotai</t>
  </si>
  <si>
    <t>KEK Likupang</t>
  </si>
  <si>
    <t>KEK Pariwisata dan Kesehatan Internasional Batam</t>
  </si>
  <si>
    <t>KEK Edukasi, Teknologi, dan Kesehatan Internasional (ETKI) Banten</t>
  </si>
  <si>
    <t>KEK Kendal</t>
  </si>
  <si>
    <t>KEK Bitung</t>
  </si>
  <si>
    <t>KEK Palu</t>
  </si>
  <si>
    <t>KEK Maloy Batuta Trans Kalimantan (MBTK)</t>
  </si>
  <si>
    <t>KEK Sorong</t>
  </si>
  <si>
    <t>KEK Tanjung Sauh</t>
  </si>
  <si>
    <t>KEK Setangga</t>
  </si>
  <si>
    <t>KEK Batam Aero Technic (BAT)</t>
  </si>
  <si>
    <t>KEK Industropolis Batang</t>
  </si>
  <si>
    <t>Penataan BUMN dan Anak Usaha BUMN</t>
  </si>
  <si>
    <t>Jakarta Sewerage System</t>
  </si>
  <si>
    <t>Proyek Revitalisasi Rumah Susun Klender, Jakarta Timur</t>
  </si>
  <si>
    <t>Kepala BP BUMN</t>
  </si>
  <si>
    <t>Proyek Revitalisasi Rusun Kebon Kacang, Jakarta Pusat</t>
  </si>
  <si>
    <t>Revitalisasi Rusun Kemayoran Blok A</t>
  </si>
  <si>
    <t>Samesta Casanamora - Matubung</t>
  </si>
  <si>
    <t>Kota Mandiri Bekala</t>
  </si>
  <si>
    <t>Samesta Maja</t>
  </si>
  <si>
    <t>Samesta Green View</t>
  </si>
  <si>
    <t>Samesta Taroada</t>
  </si>
  <si>
    <t>Samesta Jonggol</t>
  </si>
  <si>
    <t>Samesta Driyorejo</t>
  </si>
  <si>
    <t>Samesta Parayasa</t>
  </si>
  <si>
    <t>Blok K Pulogebang</t>
  </si>
  <si>
    <t>TOD Jurangmangu</t>
  </si>
  <si>
    <t>Samesta Alonia</t>
  </si>
  <si>
    <t/>
  </si>
  <si>
    <t>Program Pemerataan Ekonomi</t>
  </si>
  <si>
    <t>Program Pengembangan Kawasan Eco-City</t>
  </si>
  <si>
    <t>Program Pengembangan Kawasan Ekonomi Khusus</t>
  </si>
  <si>
    <t>Program Pengembangan Superhub</t>
  </si>
  <si>
    <t>Program Pengendalian Banjir, Penanganan Kemacetan,</t>
  </si>
  <si>
    <t>Program Peningkatan Penyediaan Pangan Nasional</t>
  </si>
  <si>
    <t>Program Pertumbuhan Industri Pariwisata dan Penerb</t>
  </si>
  <si>
    <t>Provinsi Jawa Barat</t>
  </si>
  <si>
    <t>Bendungan Bendo</t>
  </si>
  <si>
    <t>Provinsi Jawa Timur</t>
  </si>
  <si>
    <t>Bendungan Beringin Sila</t>
  </si>
  <si>
    <t>Provinsi Nusa Tenggara Barat</t>
  </si>
  <si>
    <t>Bendungan Bintang Bano</t>
  </si>
  <si>
    <t>Bendungan Ciawi</t>
  </si>
  <si>
    <t>Bendungan Gongseng</t>
  </si>
  <si>
    <t>Bendungan Karalloe</t>
  </si>
  <si>
    <t>Provinsi Sulawesi Selatan</t>
  </si>
  <si>
    <t>Bendungan Kuningan</t>
  </si>
  <si>
    <t>Bendungan Kuwil Kawangkoan</t>
  </si>
  <si>
    <t>Provinsi Sulawesi Utara</t>
  </si>
  <si>
    <t>Bendungan Leuwikeris</t>
  </si>
  <si>
    <t>Bendungan Meninting</t>
  </si>
  <si>
    <t>Bendungan Passeloreng</t>
  </si>
  <si>
    <t>Bendungan Pidekso</t>
  </si>
  <si>
    <t>Provinsi Jawa Tengah</t>
  </si>
  <si>
    <t>Bendungan Randugunting</t>
  </si>
  <si>
    <t>Bendungan Sadawarna</t>
  </si>
  <si>
    <t>Bendungan Semantok</t>
  </si>
  <si>
    <t>Bendungan Sidan</t>
  </si>
  <si>
    <t>Provinsi Bali</t>
  </si>
  <si>
    <t>Bendungan Sukamahi</t>
  </si>
  <si>
    <t>Bendungan Tamblang</t>
  </si>
  <si>
    <t>Bendungan Tapin</t>
  </si>
  <si>
    <t>Provinsi Kalimantan Selatan</t>
  </si>
  <si>
    <t>Bendungan Tiu Suntuk</t>
  </si>
  <si>
    <t>Bendungan Tugu</t>
  </si>
  <si>
    <t>Bendungan Tukul</t>
  </si>
  <si>
    <t>Pembangunan Bendung dan Jaringan Irigasi Daerah Ir</t>
  </si>
  <si>
    <t>Pembangunan dan Pengelolaan Estuary Dam di Teluk B</t>
  </si>
  <si>
    <t>Provinsi Kepulauan Riau</t>
  </si>
  <si>
    <t>Pembangunan Jaringan Irigasi Daerah Irigasi Lemata</t>
  </si>
  <si>
    <t>Provinsi Sumatera Selatan</t>
  </si>
  <si>
    <t>Pengembangan dan Pengelolaan Jaringan Irigasi Kome</t>
  </si>
  <si>
    <t>Rehabilitasi Jaringan Irigasi Daerah Irigasi Glapa</t>
  </si>
  <si>
    <t>Rehabilitasi Jaringan Irigasi Daerah Irigasi Gumba</t>
  </si>
  <si>
    <t>Provinsi Sulawesi Tengah</t>
  </si>
  <si>
    <t>Rehabilitasi Jaringan Irigasi Daerah Irigasi Renta</t>
  </si>
  <si>
    <t>Gasifikasi Batubara di Tanjung Enim</t>
  </si>
  <si>
    <t>Konstruksi Tangki Penyimpanan BBM</t>
  </si>
  <si>
    <t>Indonesia Bagian Timur</t>
  </si>
  <si>
    <t>North Hub Development Project Selat Makassar</t>
  </si>
  <si>
    <t>Provinsi Kalimantan Timur</t>
  </si>
  <si>
    <t>Palapa Ring Integrasi</t>
  </si>
  <si>
    <t>Nasional</t>
  </si>
  <si>
    <t>Pembangunan Bahan Bakar Hijau (Green Refinery RU I</t>
  </si>
  <si>
    <t>Provinsi Jawa Tengah, Provinsi Sumatera Selatan, dan Provinsi Jawa Barat</t>
  </si>
  <si>
    <t xml:space="preserve">Pengembangan  Lapangan  Unitisasi  Gas Jambaran - </t>
  </si>
  <si>
    <t>Pengembangan Drone Male Kombatan (Male Unmaned Com</t>
  </si>
  <si>
    <t>Pengembangan Lapangan Gendalo, Gandang, Gehem, dan</t>
  </si>
  <si>
    <t>Pengembangan Teknologi Produksi IVO dan Bensin Saw</t>
  </si>
  <si>
    <t>Percepatan Pembangunan Technopark</t>
  </si>
  <si>
    <t>Proyek Satelit Multifungsi</t>
  </si>
  <si>
    <t>Proyek Tangguh LNG Train 3</t>
  </si>
  <si>
    <t>Provinsi Papua Barat</t>
  </si>
  <si>
    <t>Upgrading Kilang Eksisting (RDMP) dan Industri Pet</t>
  </si>
  <si>
    <t>Jalan Tol Bogor Ring Road (termasuk Caringin - Sal</t>
  </si>
  <si>
    <t xml:space="preserve">Jalan Tol Depok - Antasari (termasuk Bojonggede - </t>
  </si>
  <si>
    <t>Jalan Tol Krian - Legundi - Bunder - Manyar</t>
  </si>
  <si>
    <t>Jalan Tol Lubuk Linggau - Curup - Bengkulu - bagia</t>
  </si>
  <si>
    <t>Provinsi Sumatera Selatan dan Bengkulu</t>
  </si>
  <si>
    <t>Jalan Tol Ngawi - Kertosono - Kediri</t>
  </si>
  <si>
    <t>Jalan Tol Solo - Yogyakarta - Kulon Progo</t>
  </si>
  <si>
    <t>Provinsi Jawa Tengah dan Provinsi Daerah Istimewa Yogyakarta</t>
  </si>
  <si>
    <t>Pembangunan Fly Over dari dan Menuju Terminal Telu</t>
  </si>
  <si>
    <t>Pengembangan Jalan Tol Dalam Kota Bandung:
a. Nort</t>
  </si>
  <si>
    <t>Program Pengoperasian dan Modernisasi Jalan Tol</t>
  </si>
  <si>
    <t>Penerapan Multi-Lane Free Flow (MLFF) untuk Pengoperasian dan Modernisasi Jalan Tol.</t>
  </si>
  <si>
    <t>Bandar Udara Baru Yogyakarta - Kulon Progo</t>
  </si>
  <si>
    <t>Provinsi Daerah Istimewa Yogyakarta</t>
  </si>
  <si>
    <t>Bandar Udara Kediri</t>
  </si>
  <si>
    <t>Bandar Udara Komodo - Labuan Bajo</t>
  </si>
  <si>
    <t>Provinsi Nusa Tenggara Timur</t>
  </si>
  <si>
    <t>Infrastruktur Kereta Api Logistik di Kalimantan Ti</t>
  </si>
  <si>
    <t>Makassar New Port</t>
  </si>
  <si>
    <t>Pelabuhan KEK Maloy</t>
  </si>
  <si>
    <t>Pelabuhan Likupang</t>
  </si>
  <si>
    <t>Pelabuhan Sanur - Nusa Ceningan/Lembongan</t>
  </si>
  <si>
    <t>Pembangunan Bandar Udara Nabire Baru</t>
  </si>
  <si>
    <t>Provinsi Papua Tengah</t>
  </si>
  <si>
    <t>Pembangunan Bandar Udara Siboru Fak Fak</t>
  </si>
  <si>
    <t>Pembangunan Pelabuhan Palembang Baru/New Palembang</t>
  </si>
  <si>
    <t>Pengembangan Bandar Udara Internasional Lombok Pra</t>
  </si>
  <si>
    <t>Provinsi Nusa Tenggara</t>
  </si>
  <si>
    <t>Pengembangan Bandar Udara Raja Haji Abdullah Tanju</t>
  </si>
  <si>
    <t>Pengembangan Pelabuhan Hub Internasional Bitung</t>
  </si>
  <si>
    <t>Pengembangan Pelabuhan Hub Internasional Kuala Tan</t>
  </si>
  <si>
    <t>Provinsi Sumatera Utara</t>
  </si>
  <si>
    <t>Pengembangan Pelabuhan Kupang</t>
  </si>
  <si>
    <t>Pengembangan Pelabuhan Sorong</t>
  </si>
  <si>
    <t xml:space="preserve">Provinsi Papua Barat Daya </t>
  </si>
  <si>
    <t>Pengembangan Pelabuhan Teluk Palu</t>
  </si>
  <si>
    <t>Pengembangan Pelabuhan Terminal Kijing</t>
  </si>
  <si>
    <t>Provinsi Kalimantan Barat</t>
  </si>
  <si>
    <t>Terminal Multipurpose Labuan Bajo</t>
  </si>
  <si>
    <t>Kawasan Pengembangan Terpadu Bumi Serpong Damai (K</t>
  </si>
  <si>
    <t>Provinsi Banten</t>
  </si>
  <si>
    <t>Program terdiri dari:
a. Percepatan Pembangunan Kawasan Strategis Nasional Ibu Kota Negara dan Infrastruktur Pendukung Ibu Kota Negara yang berpedoman pada Undang-Undang Nomor 3 Tahun 2022 tentang Ibu Kota Negara dan Peraturan Presiden Nomor 63 Tahun 2022</t>
  </si>
  <si>
    <t>Tanggul Pantai</t>
  </si>
  <si>
    <t>Provinsi Daerah Khusus Ibukota Jakarta, Provinsi Jawa Barat, dan Provinsi Banten</t>
  </si>
  <si>
    <t>√</t>
  </si>
  <si>
    <t>X</t>
  </si>
  <si>
    <t>Program Pembangunan Smelter: 
a. Pembangunan 8 (delapan) Fasilitas Pengolahan dan Pemurnian Komoditas Nikel oleh:  
PT Artabumi Sentra Industri di Morowali, Sulawesi Tengah;  
PT Wanxiang Nickel Indonesia di Morowali, Sulawesi Tengah;  
PT Artha Mining In</t>
  </si>
  <si>
    <t>Ada</t>
  </si>
  <si>
    <t>Tidak Ada</t>
  </si>
  <si>
    <t>Ketersediaan Data</t>
  </si>
  <si>
    <t>Klaster</t>
  </si>
  <si>
    <t>Lokasi_Prov</t>
  </si>
  <si>
    <t>Lokasi_Kab</t>
  </si>
  <si>
    <t>Direktif Presiden</t>
  </si>
  <si>
    <t>Provinsi DKI Jakarta</t>
  </si>
  <si>
    <t>Kota Jakarta Timur, Kota Jakarta Barat, Kota Jakarta Selatan</t>
  </si>
  <si>
    <t>Kabupaten Tangerang, Kota Tangerang, dan Kota Tangerang Selatan</t>
  </si>
  <si>
    <t>Kota Bekasi dan Kabupaten Bekasi</t>
  </si>
  <si>
    <t>Kota Semarang dan Kabupaten Semarang</t>
  </si>
  <si>
    <t>Provinsi D.I. Yogyakarta</t>
  </si>
  <si>
    <t>Kota Yogyakarta. Kabupaten Sleman, Kabupaten Bantul</t>
  </si>
  <si>
    <t>Kota Medan dan Kabupaten Deli Serdang</t>
  </si>
  <si>
    <t>Kota Makassar</t>
  </si>
  <si>
    <t>Kota Denpasar, Kabupaten Badung</t>
  </si>
  <si>
    <t>Kota Palembang</t>
  </si>
  <si>
    <t>Provinsi Kalimantan Barat, Provinsi Papua Barat, Provinsi Banten</t>
  </si>
  <si>
    <t>Kabupaten Subang</t>
  </si>
  <si>
    <t>Pembangunan Manusia dan Kebudayaan</t>
  </si>
  <si>
    <t>Kota Depok</t>
  </si>
  <si>
    <t>Kawasan Swasembada Pangan, Energi, dan Air Nasional</t>
  </si>
  <si>
    <t>Provinsi Papua Selatan</t>
  </si>
  <si>
    <t>Kabupaten Merauke,, Kabupaten Mappi,, Kabupaten Asmat,, Kabupaten Boven Digoel</t>
  </si>
  <si>
    <t>Kabupaten Merauke</t>
  </si>
  <si>
    <t>Swasembada Pangan</t>
  </si>
  <si>
    <t>Indonesia</t>
  </si>
  <si>
    <t>Provinsi Aceh</t>
  </si>
  <si>
    <t>Kabupaten Aceh Barat</t>
  </si>
  <si>
    <t>Kabupaten Aceh Utara, Kabupaten Aceh Timur</t>
  </si>
  <si>
    <t>Kabupaten Ogan Komering Ilir, Kabupaten Ogan Ilir, Kabupaten Banyuasin</t>
  </si>
  <si>
    <t>Kabupaten Cilacap</t>
  </si>
  <si>
    <t>Kabupaten Bekasi, Kabupaten Karawang, Kabupaten Subang, Kabupaten Indramayu</t>
  </si>
  <si>
    <t>Kabupaten Sumba Timur</t>
  </si>
  <si>
    <t>Kabupaten Luwu Utara</t>
  </si>
  <si>
    <t>Provinsi Kalimantan Tengah</t>
  </si>
  <si>
    <t>Kabupaten Sukamara</t>
  </si>
  <si>
    <t>Swasembada Air</t>
  </si>
  <si>
    <t>Provinsi Maluku</t>
  </si>
  <si>
    <t>Kabupaten Buru</t>
  </si>
  <si>
    <t>Kabupaten Bolaang Mongondow</t>
  </si>
  <si>
    <t>Provinsi Gorontalo</t>
  </si>
  <si>
    <t>Kabupaten Bone Bolango</t>
  </si>
  <si>
    <t>Provinsi Sulawesi Tenggara</t>
  </si>
  <si>
    <t>Kabupaten Konawe</t>
  </si>
  <si>
    <t>Kabupaten Kolaka Timur</t>
  </si>
  <si>
    <t>Provinsi Sulawesi Barat</t>
  </si>
  <si>
    <t>Kabupaten Mamuju Tengah</t>
  </si>
  <si>
    <t>Kabupaten Takalar</t>
  </si>
  <si>
    <t>Kabupaten Nagekeo</t>
  </si>
  <si>
    <t>Kabupaten Sikka</t>
  </si>
  <si>
    <t>Kabupaten Timor Tengah Selatan</t>
  </si>
  <si>
    <t>Kabupaten Kupang</t>
  </si>
  <si>
    <t>Kabupaten Kutai Kartanegara</t>
  </si>
  <si>
    <t>Kabupaten Penajam Paser Utara</t>
  </si>
  <si>
    <t>Kabupaten Trenggalek</t>
  </si>
  <si>
    <t>Provinsi Jawa Tengah dan Provinsi Jawa Timur</t>
  </si>
  <si>
    <t>Kabupaten Bojonegoro, Kabupaten Blora</t>
  </si>
  <si>
    <t>Kabupaten Purworejo</t>
  </si>
  <si>
    <t>Kabupaten Karanganyar</t>
  </si>
  <si>
    <t>Kabupaten Semarang</t>
  </si>
  <si>
    <t>Kabupaten Lebak</t>
  </si>
  <si>
    <t>Kabupaten Sumedang, Kabupaten Indramayu</t>
  </si>
  <si>
    <t>Kabupaten Aceh Utara</t>
  </si>
  <si>
    <t>Kabupaten Pidie</t>
  </si>
  <si>
    <t>Kabupaten Deli Serdang</t>
  </si>
  <si>
    <t>Kabupaten Ogan Komering Ulu</t>
  </si>
  <si>
    <t>Provinsi Lampung</t>
  </si>
  <si>
    <t>Kabupaten Pringsewu</t>
  </si>
  <si>
    <t>Kabupaten Lampung Timur</t>
  </si>
  <si>
    <t>Kabupaten Gowa</t>
  </si>
  <si>
    <t>Kabupaten Pasuruan, Kota Pasuruan, Kabupaten Sidoarjo, Kota Surabaya, Kabupaten Gresik</t>
  </si>
  <si>
    <t>Kota Semarang</t>
  </si>
  <si>
    <t>Kabupaten Wonogiri, Kabupaten Sukoharjo, Kabupaten Karangnyar, Kota Solo</t>
  </si>
  <si>
    <t>Kota Bekasi, Kabupaten Bekasi, Kabupaten Karawang, Provinsi DKI Jakarta</t>
  </si>
  <si>
    <t>Provinsi Banten dan Provinsi DKI Jakarta</t>
  </si>
  <si>
    <t>Provinsi Bengkulu</t>
  </si>
  <si>
    <t>Kabupaten Bengkulu Tengah, Kota Bengkulu, Kabupaten Seluma</t>
  </si>
  <si>
    <t>Kota Bandar Lampung</t>
  </si>
  <si>
    <t>Swasembada Energi</t>
  </si>
  <si>
    <t>Kabupaten Tuban</t>
  </si>
  <si>
    <t>Kota Balikpapan</t>
  </si>
  <si>
    <t>Provinsi Riau</t>
  </si>
  <si>
    <t>Kota Dumai</t>
  </si>
  <si>
    <t>Kota Palembang, Kabupaten Banyuasin</t>
  </si>
  <si>
    <t>Kabupaten Indramayu</t>
  </si>
  <si>
    <t>Kota Kupang</t>
  </si>
  <si>
    <t>Kota Cirebon, Kabupaten Cirebon, Kabupaten Bogor</t>
  </si>
  <si>
    <t>Provinsi Jawa Barat - Provinsi Jawa Tengah</t>
  </si>
  <si>
    <t>Kota Cirebon, Kabupaten Batang, Kabupaten Indramayu</t>
  </si>
  <si>
    <t>Provinsi Sumatera Utara- Provinsi Riau</t>
  </si>
  <si>
    <t>Kota Dumai, Kabupaten Simalungun</t>
  </si>
  <si>
    <t>Kabupaten Bojonegoro</t>
  </si>
  <si>
    <t>Kabupaten Lebong</t>
  </si>
  <si>
    <t>Kabupaten Muara Enim</t>
  </si>
  <si>
    <t>Kabupaten Minahasa</t>
  </si>
  <si>
    <t>Provinsi Maluku Utara</t>
  </si>
  <si>
    <t>Kota Batam</t>
  </si>
  <si>
    <t>Provinsi Kalimantan Utara</t>
  </si>
  <si>
    <t>Kabupaten Malinau</t>
  </si>
  <si>
    <t>Kabupaten Bintan</t>
  </si>
  <si>
    <t>Kabupaten Kepulauan Tanimbar</t>
  </si>
  <si>
    <t>Kabupaten Teluk Bintuni</t>
  </si>
  <si>
    <t>Lepas Pantai Sumatera Bagian Utara (&gt;12 mil)</t>
  </si>
  <si>
    <t>Tanjung Enim</t>
  </si>
  <si>
    <t>Konektivitas dan Infrastruktur Logistik Jalan</t>
  </si>
  <si>
    <t>Kota Manado, Kabupaten Minahasa Utara, Kota Bitung</t>
  </si>
  <si>
    <t>Kota Balikpapan, Kabupaten Kutai Kartanegara, Kota Samarinda</t>
  </si>
  <si>
    <t>Kabupaten Jembrana, Kabupaten Taba, Kabupaten Badung</t>
  </si>
  <si>
    <t>Kabupaten Pasuruan, Kabupaten Malang, Kota Malang</t>
  </si>
  <si>
    <t>Kabupaten Pasuruan, Kabupaten Probolinggo, Kota Probolinggo</t>
  </si>
  <si>
    <t>Kabupaten Probolinggo, Kabupaten Situbondo, Kabupaten Banyuwangi</t>
  </si>
  <si>
    <t>Kabupaten Nganjuk, Kabupaten Kediri</t>
  </si>
  <si>
    <t>Provinsi Jawa Tengah dan Provinsi D.I. Yogyakarta</t>
  </si>
  <si>
    <t>Kabupaten Sleman, Kabupaten Kulon Progo</t>
  </si>
  <si>
    <t>Provinsi D.I. Yogyakarta dan Provinsi Jawa Tengah</t>
  </si>
  <si>
    <t>Kabupaten Magelang, Kota Magelang, Kabupaten Temanggung, Kabupaten Semarang</t>
  </si>
  <si>
    <t>Kota Semarang, Kabupaten Demak</t>
  </si>
  <si>
    <t>Provinsi Jawa Barat dan Provinsi Jawa Tengah</t>
  </si>
  <si>
    <t>Kota Bandung, Kabupaten Bandung, Kabupaten Garut, Kabupaten Tasikmalaya, Kota Tasikmalaya, Kabupaten Ciamis, Kota Banjar, Kabupaten Pangandaran, Kabupaten Cilacap</t>
  </si>
  <si>
    <t>Kabupaten Bandung</t>
  </si>
  <si>
    <t>Kabupaten Bogor, Kabupaten Sukabumi, Kota Sukabumi, Kabupaten Cianjur, Kabupaten Bandung Barat</t>
  </si>
  <si>
    <t>Kota Depok, Kota Bekasi, Kabupaten Bogor, Kabupaten Bekasi</t>
  </si>
  <si>
    <t>Kabupaten Bogor</t>
  </si>
  <si>
    <t>Provinsi DKI Jakarta dan Provinsi Jawa Barat</t>
  </si>
  <si>
    <t>Kota Depok, Kota Bogor, Kabupaten Bogor</t>
  </si>
  <si>
    <t>Kabupaten Bekasi, Provinsi DKI Jakarta</t>
  </si>
  <si>
    <t>Kota Bekasi, Provinsi DKI Jakarta</t>
  </si>
  <si>
    <t>Kota Bekasi, Kabupaten Bekasi, Kabupaten Karawang, Kabupaten Purwakarta</t>
  </si>
  <si>
    <t>Provinsi DKI Jakarta dan Provinsi Banten</t>
  </si>
  <si>
    <t>Provinsi Banten dan Provinsi Jawa Barat</t>
  </si>
  <si>
    <t>Kota Tangeran Selatan, Kota Depok</t>
  </si>
  <si>
    <t>Kota Serang, Kabupaten Serang, Kabupaten Lebak, Kabupaten Pandeglang</t>
  </si>
  <si>
    <t>Kota Tangerang Selatan, Kabupaten Tangerang</t>
  </si>
  <si>
    <t>Kota Kediri, Kabupaten Kediri, Kabupaten Tulungagung</t>
  </si>
  <si>
    <t>DKI Jakarta dan Banten</t>
  </si>
  <si>
    <t>Provinsi DKI Jakarta, Provinsi Jawa Barat</t>
  </si>
  <si>
    <t>Provinsi Jawa Barat, Provinsi Banten</t>
  </si>
  <si>
    <t>Kabupaten Bogor, Kota Tangerang Selatan</t>
  </si>
  <si>
    <t>Kabupaten Bogor, Kabupaten Bekasi, Kabupaten Karawang</t>
  </si>
  <si>
    <t>Kabupaten Pacitan, Kabupaten Trenggalek, Kabupaten Tulungagung, Kabupaten Blitar, Kabupaten Malang, Kabupaten Lumajang, Kabupaten Jember, Kabupaten Banyuwangi</t>
  </si>
  <si>
    <t>a. Jantho - Keumala, b. Bts. Kalimantan Barat , Bts. Kalimantan Tengah - Tumbang Sanamang, c.Taluditi - Desa Cempaka Putih (Randangan - Tolinggula)</t>
  </si>
  <si>
    <t>Provinsi Kalimantan Barat, Provinsi Kalimantan Tengah</t>
  </si>
  <si>
    <t>Kabupaten Katingan, Kabupaten Kapuas, Kabupaten Gunung Mas, Kabupaten Murung Raya, Kabupaten Kotawaringin Timur, Kota Palangka Raya</t>
  </si>
  <si>
    <t>Kota Gorontalo, Kab. Gorontalo, Kab. Bone Bolango,  Kab. Gorontalo Utara, Kab. Boalemo</t>
  </si>
  <si>
    <t>Provinsi Papua Pegunungan</t>
  </si>
  <si>
    <t>Jayapura -Wamena</t>
  </si>
  <si>
    <t>Kabupaten Tanah Bumbu, Kabupaten Kotabaru</t>
  </si>
  <si>
    <t>Provinsi Sumatera Barat</t>
  </si>
  <si>
    <t>Kota Padang</t>
  </si>
  <si>
    <t>Kabupaten Pidie, Kabupaten Aceh Besar</t>
  </si>
  <si>
    <t>Provinsi Aceh dan Sumatera Utara</t>
  </si>
  <si>
    <t>Kota Binjai, Kota Langsa</t>
  </si>
  <si>
    <t>Kota Medan, Kabupaten Deli Serdang, Kota Binjai</t>
  </si>
  <si>
    <t>Kabupaten Asahan, Kota Tebing Tinggi</t>
  </si>
  <si>
    <t>Kota Tebing Tinggi, Kota Pematang Siantar, Kabupaten Simalungun, Kabupaten Tapanuli Utara, Kota Sibolga</t>
  </si>
  <si>
    <t>Kota Bukittinggi, Kota Padang Panjang, Kabupaten Padang Pariaman, Kota Padang</t>
  </si>
  <si>
    <t>Provinsi Sumatera Barat dan Provinsi Riau</t>
  </si>
  <si>
    <t>Kota Pekanbaru, Kabupaten Kampar, Kota Payakumbuh, Kota Bukittinggi</t>
  </si>
  <si>
    <t>Kabupaten Indragiri Hulu, Kota Pekanbaru</t>
  </si>
  <si>
    <t>Kota Pekanbaru, Kabupaten Siak, Kota Dumai</t>
  </si>
  <si>
    <t>Provinsi Jambi dan Riau</t>
  </si>
  <si>
    <t>Kabupaten Muaro Jambi, Kabupaten Indragiri Hulu, Kabupaten Indragiri Hilir</t>
  </si>
  <si>
    <t>Provinsi Jambi dan Provinsi Sumatera Selatan</t>
  </si>
  <si>
    <t>Kabupaten Banyuasin, Kabupaten Musi Banyuasin, Kabupaten Muaro Jambi</t>
  </si>
  <si>
    <t>Kabupaten Ogan Ilir, Kota Prabumulih, Kabupaten Muara Enim</t>
  </si>
  <si>
    <t>Kabupaten Ogan Komering Ilir, Kabupaten Ogan Ilir, Kota Palembang, Kabupaten Banyuasin</t>
  </si>
  <si>
    <t>Provinsi Riau, Provinsi Sumatera Utara</t>
  </si>
  <si>
    <t>Kota Dumai, Kabupaten Labuhanbatu</t>
  </si>
  <si>
    <t>Kota Bandar Lampung, Kabupaten Lampung Selatan</t>
  </si>
  <si>
    <t>Kabupaten Karawang</t>
  </si>
  <si>
    <t>Kabupaten Bandung Barat</t>
  </si>
  <si>
    <t>Konektivitas dan Infrastruktur Logistik Non-Jalan</t>
  </si>
  <si>
    <t>Kabupaten Badung</t>
  </si>
  <si>
    <t>Provinsi Jambi</t>
  </si>
  <si>
    <t>Kabupaten Muaro Jambi</t>
  </si>
  <si>
    <t>Kabupaten Maros, Kabupaten Pangkajene dan Kepulauan, Kabupaten Barru, Kota Parepare</t>
  </si>
  <si>
    <t>Provinsi Sumatera Utara dan Provinsi Riau</t>
  </si>
  <si>
    <t>Kabupaten Labuhanbatu, Kabupaten Labuhanbatu Selatan</t>
  </si>
  <si>
    <t>Kota Yogyakarta, Kabupaten Kulon Progo</t>
  </si>
  <si>
    <t>Provinsi Jawa Barat, Provinsi Jawa Tengah, Provinsi D.I. Yogyakarta, dan Provinsi Jawa Timur</t>
  </si>
  <si>
    <t>Kabupaten Madiun, Kabupaten Jombang, Kabupaten Mojokerto, Kota Surabaya, Kabupaten Sidoarjo</t>
  </si>
  <si>
    <t>Kabupaten Karawang, Kabupaten Bandung Barat, Kabupaten Bandung, Provinsi DKI Jakarta</t>
  </si>
  <si>
    <t>Provinsi DKI Jakarta, Kota Bekasi, Kota Depok, Kota Bogor</t>
  </si>
  <si>
    <t>Provinsi DKI Jakarta, Provinsi Banten, dan Provinsi Jawa Barat</t>
  </si>
  <si>
    <t>Perencanaan Wilayah dan Pengembangan Kawasan</t>
  </si>
  <si>
    <t>Kota Surabaya</t>
  </si>
  <si>
    <t>Provinsi Papua Selatan, Provinsi Papua Tengah, Provinsi Papua Pegunungan, Provinsi Papua Barat Daya</t>
  </si>
  <si>
    <t>Kabupaten Merauke, Kabupaten Nabire, Kabupaten Jayawijaya, Kota Sorong</t>
  </si>
  <si>
    <t>Provinsi Banten dan Provinsi Lampung</t>
  </si>
  <si>
    <t>Kota Cilegon, Kabupaten Lampung Selatan</t>
  </si>
  <si>
    <t>Ibu Kota Nusantara</t>
  </si>
  <si>
    <t>Provinsi Banten, Provinsi DKI Jakarta, Provinsi Jawa Barat, Provinsi Jawa Tengah, dan Provinsi Jawa Timur</t>
  </si>
  <si>
    <t>Kabupaten Gresik</t>
  </si>
  <si>
    <t>Kabupaten Toba, Kabupaten Samosir, Kabupaten Simalungun, Kabupaten Dairi, Kabupaten Karo, Kabupaten Humbang Hasundutan, Kabupaten Tapanuli Utara</t>
  </si>
  <si>
    <t>Kabupaten Magelang</t>
  </si>
  <si>
    <t>Kabupaten Manggarai Barat</t>
  </si>
  <si>
    <t>Kabupaten Nunukan</t>
  </si>
  <si>
    <t>Kabupaten Malinau, Kabupaten Nunukan</t>
  </si>
  <si>
    <t>Hilirisasi</t>
  </si>
  <si>
    <t>Kabupaten Kutai Timur</t>
  </si>
  <si>
    <t>Kota Cilegon</t>
  </si>
  <si>
    <t>Kabupaten Sumbawa Barat, Kabupaten Sumbawa</t>
  </si>
  <si>
    <t>Kabupaten Dompu</t>
  </si>
  <si>
    <t>Mempawah</t>
  </si>
  <si>
    <t>Mempawah dan Kuala Tanjung</t>
  </si>
  <si>
    <t>Industrialisasi</t>
  </si>
  <si>
    <t>Kabupaten Fakfak</t>
  </si>
  <si>
    <t>Desa Onar Baru, Distrik Sumuri, Kabupaten Teluk Bintuni</t>
  </si>
  <si>
    <t>Kabupaten Halmahera Selatan</t>
  </si>
  <si>
    <t>Kabupaten Halmahera Tengah</t>
  </si>
  <si>
    <t>Kendari</t>
  </si>
  <si>
    <t>Kecamatan Batu Putih, Kecamatan Tolala, dan Kecamatan Porehu, Kabupaten Kolaka Utara,</t>
  </si>
  <si>
    <t>Kecamatan Tolala, dan Kecamatan Porehu, Kabupaten Kolaka Utara,</t>
  </si>
  <si>
    <t>Kabupaten Konawe Utara</t>
  </si>
  <si>
    <t>Kabupaten Morowali</t>
  </si>
  <si>
    <t>Kabupaten Parigi Moutong</t>
  </si>
  <si>
    <t>Kabupaten Bantaeng</t>
  </si>
  <si>
    <t>Kecamatan Malili, Kabupaten Luwu Timur</t>
  </si>
  <si>
    <t>Jorong, Kabupaten Tanah Laut</t>
  </si>
  <si>
    <t>Desa/Kelurahan Kumai Hulu, Kec. Kumai, Kab. Kotawaringin Barat</t>
  </si>
  <si>
    <t>Jl. Poros Lunci – Jelai, Desa Sungai Tabuk, Kec. Pantai Lunci, Kab. Sukamara</t>
  </si>
  <si>
    <t>Kecamatan Awang, Kecamatan Banua Lima, Kecamatan Dusun Timur, Kecamatan Karusen Janang, Kecamatan Paju Epat, Kecamatan Paku dan Kecamatan Patangkep Tutui Kabupaten Barito Timur</t>
  </si>
  <si>
    <t>Kecamatan Mandor, Kabupaten Landak</t>
  </si>
  <si>
    <t>Kabupaten Ketapang</t>
  </si>
  <si>
    <t>Kabupaten Kayong Utara</t>
  </si>
  <si>
    <t>Kabupaten Sanggau</t>
  </si>
  <si>
    <t>Kabupaten Batang</t>
  </si>
  <si>
    <t>Kabupaten Serang</t>
  </si>
  <si>
    <t>Kabupaten Siak</t>
  </si>
  <si>
    <t>Kabupaten Batu Bara</t>
  </si>
  <si>
    <t>Provinsi Papua Barat dan Provinsi Papua Barat Daya</t>
  </si>
  <si>
    <t>Kabupaten Tambrauw, Kabupaten Manokwari, Kabupaten Sorong, Kabupaten Raja Ampat, Kabupaten Manokwari Selatan, Kabupaten Teluk Bintuni, Kabupaten Fakfak</t>
  </si>
  <si>
    <t>Kabupaten Rote Ndao</t>
  </si>
  <si>
    <t>Kecamatan Patebon, Kabupaten Kendal</t>
  </si>
  <si>
    <t>Kawasan Ekonomi Khusus</t>
  </si>
  <si>
    <t>Kota Lhokseumawe, Kabupaten Aceh Utara</t>
  </si>
  <si>
    <t>Kabupaten Simalungun</t>
  </si>
  <si>
    <t>Kabupaten Lombok Tengah</t>
  </si>
  <si>
    <t>Kota Denpasar</t>
  </si>
  <si>
    <t>Kabupaten Malang</t>
  </si>
  <si>
    <t>Kabupaten Pandeglang</t>
  </si>
  <si>
    <t>Provinsi Bangka Belitung</t>
  </si>
  <si>
    <t>Kabupaten Belitung</t>
  </si>
  <si>
    <t>Kabupaten Pulau Morotai</t>
  </si>
  <si>
    <t>Kabupaten Minahasa Utara</t>
  </si>
  <si>
    <t>Kabupaten Tangerang</t>
  </si>
  <si>
    <t>Kabupaten Kendal</t>
  </si>
  <si>
    <t>Kota Bitung</t>
  </si>
  <si>
    <t>Kota Palu</t>
  </si>
  <si>
    <t>Provinsi Papua Barat Daya</t>
  </si>
  <si>
    <t>Kabupaten Sorong</t>
  </si>
  <si>
    <t>Kabupaten Tanah Bumbu</t>
  </si>
  <si>
    <t>Perumahan dan Permukiman</t>
  </si>
  <si>
    <t>Jl. I Gusti Ngurah Rai, Klender, Jakarta Timur</t>
  </si>
  <si>
    <t>Jl.Kebon Kacang XI, Kecamatan Tanah Abang, Kota Jakarta Pusat</t>
  </si>
  <si>
    <t>Jl. HBR Motik, Kab. Kosong, Kec. Kemayoran, Kota Jakarta Pusat</t>
  </si>
  <si>
    <t>Jl. Rawe Raya, Kecamatan Medan Labuhan, Kota Medan</t>
  </si>
  <si>
    <t>Kabupaten Banyuasin</t>
  </si>
  <si>
    <t>Kabupaten Maros</t>
  </si>
  <si>
    <t>DKI Jakarta</t>
  </si>
  <si>
    <t>Kota Tangerang Selatan</t>
  </si>
  <si>
    <t>Kota Tebing Tinggi, Kabupaten Batu Bara</t>
  </si>
  <si>
    <t>RKP Pemutakhiran 2026 (Perpres 68)</t>
  </si>
  <si>
    <t>Data PEKS3</t>
  </si>
  <si>
    <t>Pembangunan Fasilitas Pengolahan dan Pemurnian Alumina - Aluminium Terpadu:
- Pembangunan Pembangkit Listrik sebagai fasilitas pendukung operasional Smelter Aluminium yang dilaksanakan oleh PT Bukit Asam Tbk, PT Perusahaan Listrik Negara (Persero)</t>
  </si>
  <si>
    <t>Transformasi Tata Kelola</t>
  </si>
  <si>
    <t>Keterangan</t>
  </si>
  <si>
    <t>Data Awal PSI, Data e-Monev PEKS3</t>
  </si>
  <si>
    <t>Data Awal PSI</t>
  </si>
  <si>
    <t>Daftar PSN RKP 2026 Pemutakhiran</t>
  </si>
  <si>
    <t>Daftar PSN Dit. PSI</t>
  </si>
  <si>
    <t>Daftar PSN Dit. PEKS3</t>
  </si>
  <si>
    <t>Data Pengendalian e-Monev Dit. PEKS3</t>
  </si>
  <si>
    <t>Sistem Penyediaan Air Minum (SPAM) Kota Bandar Lam</t>
  </si>
  <si>
    <t>Sistem Penyediaan Air Minum (SPAM) Regional Benten</t>
  </si>
  <si>
    <t>Sistem Penyediaan Air Minum (SPAM) Regional Jatilu</t>
  </si>
  <si>
    <t>Provinsi Jawa Barat dan Provinsi Daerah Khusus Ibukota Jakarta</t>
  </si>
  <si>
    <t>Sistem Penyediaan Air Minum (SPAM) Regional Karian</t>
  </si>
  <si>
    <t>Provinsi Banten dan Provinsi Daerah Khusus Ibukota Jakarta</t>
  </si>
  <si>
    <t>Sistem Penyediaan Air Minum (SPAM) Regional Wosuso</t>
  </si>
  <si>
    <t>Sistem Penyediaan Air Minum (SPAM) Semarang Barat</t>
  </si>
  <si>
    <t>Sistem Penyediaan Air Minum (SPAM) Umbulan</t>
  </si>
  <si>
    <t>Program Percepatan Pengembangan Wilayah</t>
  </si>
  <si>
    <t>Akan ada kiriman update besok 14 Sept 2026</t>
  </si>
  <si>
    <t>Daftar PSN Permenko yang tidak ada di RKP</t>
  </si>
  <si>
    <t>Daftar PSN Permenko yang ada di RKP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</si>
</sst>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3" fillId="0" borderId="0"/>
    <xf numFmtId="0" fontId="5" fillId="0" borderId="0"/>
  </cellStyleXfs>
  <cellXfs count="2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6" fillId="3" borderId="1" xfId="2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2" applyFont="1" applyBorder="1" applyAlignment="1">
      <alignment vertical="center" wrapText="1"/>
    </xf>
    <xf numFmtId="0" fontId="4" fillId="0" borderId="1" xfId="1" applyFont="1" applyBorder="1" applyAlignment="1">
      <alignment horizontal="center" vertical="center"/>
    </xf>
    <xf numFmtId="0" fontId="2" fillId="0" borderId="1" xfId="2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1" xfId="2" applyFont="1" applyBorder="1" applyAlignment="1">
      <alignment vertical="center" wrapText="1"/>
    </xf>
    <xf numFmtId="0" fontId="2" fillId="2" borderId="1" xfId="2" applyFont="1" applyFill="1" applyBorder="1" applyAlignment="1">
      <alignment horizontal="center" vertical="center" wrapText="1"/>
    </xf>
    <xf numFmtId="0" fontId="0" fillId="5" borderId="1" xfId="0" applyFill="1" applyBorder="1" applyAlignment="1">
      <alignment vertical="center" wrapText="1"/>
    </xf>
    <xf numFmtId="0" fontId="4" fillId="5" borderId="1" xfId="3" applyFont="1" applyFill="1" applyBorder="1" applyAlignment="1">
      <alignment vertical="center" wrapText="1"/>
    </xf>
    <xf numFmtId="0" fontId="2" fillId="5" borderId="1" xfId="2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6" fillId="3" borderId="1" xfId="2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</cellXfs>
  <cellStyles count="4">
    <cellStyle name="Normal" xfId="0" builtinId="0"/>
    <cellStyle name="Normal_Matrik" xfId="2" xr:uid="{748F2E12-C54C-4F59-B9BC-2009C70BDBD6}"/>
    <cellStyle name="Normal_Sheet2" xfId="1" xr:uid="{C370B9CF-A768-4235-BF9C-889073169EED}"/>
    <cellStyle name="Normal_Sheet7" xfId="3" xr:uid="{A2961BC2-D90B-4110-B4E5-A6BACEADD3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D6CE5-BBA3-4F5B-A5C5-5F926A6897C5}">
  <dimension ref="A1:P391"/>
  <sheetViews>
    <sheetView tabSelected="1" topLeftCell="D373" zoomScale="90" zoomScaleNormal="90" workbookViewId="0">
      <selection activeCell="N3" sqref="N3"/>
    </sheetView>
  </sheetViews>
  <sheetFormatPr defaultRowHeight="14.5" x14ac:dyDescent="0.35"/>
  <cols>
    <col min="1" max="1" width="8.7265625" style="4"/>
    <col min="2" max="2" width="46.36328125" style="4" customWidth="1"/>
    <col min="3" max="3" width="28.1796875" style="4" customWidth="1"/>
    <col min="4" max="4" width="20.36328125" style="4" customWidth="1"/>
    <col min="5" max="5" width="23.453125" style="4" customWidth="1"/>
    <col min="6" max="6" width="21.6328125" style="4" customWidth="1"/>
    <col min="7" max="7" width="21.6328125" style="2" customWidth="1"/>
    <col min="8" max="8" width="10.90625" style="2" customWidth="1"/>
    <col min="9" max="9" width="8.7265625" style="2"/>
    <col min="10" max="10" width="12.7265625" style="2" customWidth="1"/>
    <col min="11" max="11" width="8.7265625" style="2" customWidth="1"/>
    <col min="12" max="12" width="7.90625" style="2" customWidth="1"/>
    <col min="13" max="13" width="37.36328125" style="4" customWidth="1"/>
    <col min="14" max="14" width="8.7265625" style="4"/>
    <col min="15" max="16" width="0" style="4" hidden="1" customWidth="1"/>
    <col min="17" max="16384" width="8.7265625" style="4"/>
  </cols>
  <sheetData>
    <row r="1" spans="1:16" x14ac:dyDescent="0.35">
      <c r="A1" s="19" t="s">
        <v>0</v>
      </c>
      <c r="B1" s="18" t="s">
        <v>3</v>
      </c>
      <c r="C1" s="18" t="s">
        <v>4</v>
      </c>
      <c r="D1" s="18" t="s">
        <v>460</v>
      </c>
      <c r="E1" s="18" t="s">
        <v>461</v>
      </c>
      <c r="F1" s="18" t="s">
        <v>462</v>
      </c>
      <c r="G1" s="18" t="s">
        <v>721</v>
      </c>
      <c r="H1" s="18" t="s">
        <v>722</v>
      </c>
      <c r="I1" s="18" t="s">
        <v>5</v>
      </c>
      <c r="J1" s="18" t="s">
        <v>1</v>
      </c>
      <c r="K1" s="19" t="s">
        <v>459</v>
      </c>
      <c r="L1" s="19"/>
      <c r="M1" s="19"/>
    </row>
    <row r="2" spans="1:16" s="5" customFormat="1" ht="29" x14ac:dyDescent="0.35">
      <c r="A2" s="19"/>
      <c r="B2" s="18"/>
      <c r="C2" s="18"/>
      <c r="D2" s="18"/>
      <c r="E2" s="18"/>
      <c r="F2" s="18"/>
      <c r="G2" s="18"/>
      <c r="H2" s="18"/>
      <c r="I2" s="18"/>
      <c r="J2" s="18"/>
      <c r="K2" s="6" t="s">
        <v>457</v>
      </c>
      <c r="L2" s="6" t="s">
        <v>458</v>
      </c>
      <c r="M2" s="6" t="s">
        <v>725</v>
      </c>
    </row>
    <row r="3" spans="1:16" x14ac:dyDescent="0.35">
      <c r="A3" s="7">
        <v>1</v>
      </c>
      <c r="B3" s="8" t="s">
        <v>6</v>
      </c>
      <c r="C3" s="8" t="s">
        <v>7</v>
      </c>
      <c r="D3" s="8" t="s">
        <v>463</v>
      </c>
      <c r="E3" s="8" t="s">
        <v>398</v>
      </c>
      <c r="F3" s="8" t="s">
        <v>398</v>
      </c>
      <c r="G3" s="9" t="s">
        <v>454</v>
      </c>
      <c r="H3" s="10" t="s">
        <v>454</v>
      </c>
      <c r="I3" s="10" t="s">
        <v>454</v>
      </c>
      <c r="J3" s="10" t="s">
        <v>454</v>
      </c>
      <c r="K3" s="11">
        <v>1</v>
      </c>
      <c r="L3" s="11"/>
      <c r="M3" s="7" t="s">
        <v>726</v>
      </c>
      <c r="O3" s="4">
        <f>IF(J3="√",1,0)</f>
        <v>1</v>
      </c>
      <c r="P3" s="4">
        <f>SUM(O3:O300)</f>
        <v>145</v>
      </c>
    </row>
    <row r="4" spans="1:16" x14ac:dyDescent="0.35">
      <c r="A4" s="7">
        <v>2</v>
      </c>
      <c r="B4" s="8" t="s">
        <v>8</v>
      </c>
      <c r="C4" s="8" t="s">
        <v>9</v>
      </c>
      <c r="D4" s="8" t="s">
        <v>463</v>
      </c>
      <c r="E4" s="8" t="s">
        <v>398</v>
      </c>
      <c r="F4" s="8" t="s">
        <v>398</v>
      </c>
      <c r="G4" s="9" t="s">
        <v>454</v>
      </c>
      <c r="H4" s="10" t="s">
        <v>454</v>
      </c>
      <c r="I4" s="10" t="s">
        <v>454</v>
      </c>
      <c r="J4" s="10" t="s">
        <v>455</v>
      </c>
      <c r="K4" s="11">
        <v>1</v>
      </c>
      <c r="L4" s="11"/>
      <c r="M4" s="7" t="s">
        <v>727</v>
      </c>
      <c r="O4" s="4">
        <f>IF(J4="√",1,0)</f>
        <v>0</v>
      </c>
    </row>
    <row r="5" spans="1:16" ht="29" x14ac:dyDescent="0.35">
      <c r="A5" s="7">
        <v>3</v>
      </c>
      <c r="B5" s="8" t="s">
        <v>10</v>
      </c>
      <c r="C5" s="8" t="s">
        <v>11</v>
      </c>
      <c r="D5" s="8" t="s">
        <v>463</v>
      </c>
      <c r="E5" s="8" t="s">
        <v>398</v>
      </c>
      <c r="F5" s="8" t="s">
        <v>398</v>
      </c>
      <c r="G5" s="9" t="s">
        <v>454</v>
      </c>
      <c r="H5" s="10" t="s">
        <v>454</v>
      </c>
      <c r="I5" s="10" t="s">
        <v>454</v>
      </c>
      <c r="J5" s="10" t="s">
        <v>454</v>
      </c>
      <c r="K5" s="11">
        <v>1</v>
      </c>
      <c r="L5" s="11"/>
      <c r="M5" s="7" t="s">
        <v>727</v>
      </c>
      <c r="O5" s="4">
        <f t="shared" ref="O5:O68" si="0">IF(J5="√",1,0)</f>
        <v>1</v>
      </c>
    </row>
    <row r="6" spans="1:16" ht="29" x14ac:dyDescent="0.35">
      <c r="A6" s="7">
        <v>4</v>
      </c>
      <c r="B6" s="8" t="s">
        <v>12</v>
      </c>
      <c r="C6" s="8" t="s">
        <v>13</v>
      </c>
      <c r="D6" s="8" t="s">
        <v>463</v>
      </c>
      <c r="E6" s="8" t="s">
        <v>398</v>
      </c>
      <c r="F6" s="8" t="s">
        <v>398</v>
      </c>
      <c r="G6" s="9" t="s">
        <v>454</v>
      </c>
      <c r="H6" s="10" t="s">
        <v>454</v>
      </c>
      <c r="I6" s="10" t="s">
        <v>454</v>
      </c>
      <c r="J6" s="10" t="s">
        <v>455</v>
      </c>
      <c r="K6" s="11">
        <v>1</v>
      </c>
      <c r="L6" s="11"/>
      <c r="M6" s="7" t="s">
        <v>726</v>
      </c>
      <c r="O6" s="4">
        <f t="shared" si="0"/>
        <v>0</v>
      </c>
    </row>
    <row r="7" spans="1:16" ht="29" x14ac:dyDescent="0.35">
      <c r="A7" s="7">
        <v>5</v>
      </c>
      <c r="B7" s="8" t="s">
        <v>14</v>
      </c>
      <c r="C7" s="8" t="s">
        <v>15</v>
      </c>
      <c r="D7" s="8" t="s">
        <v>463</v>
      </c>
      <c r="E7" s="8" t="s">
        <v>398</v>
      </c>
      <c r="F7" s="8" t="s">
        <v>398</v>
      </c>
      <c r="G7" s="9" t="s">
        <v>454</v>
      </c>
      <c r="H7" s="10" t="s">
        <v>454</v>
      </c>
      <c r="I7" s="10" t="s">
        <v>454</v>
      </c>
      <c r="J7" s="10" t="s">
        <v>455</v>
      </c>
      <c r="K7" s="11">
        <v>1</v>
      </c>
      <c r="L7" s="11"/>
      <c r="M7" s="7" t="s">
        <v>727</v>
      </c>
      <c r="O7" s="4">
        <f t="shared" si="0"/>
        <v>0</v>
      </c>
    </row>
    <row r="8" spans="1:16" x14ac:dyDescent="0.35">
      <c r="A8" s="7">
        <v>6</v>
      </c>
      <c r="B8" s="8" t="s">
        <v>16</v>
      </c>
      <c r="C8" s="8" t="s">
        <v>17</v>
      </c>
      <c r="D8" s="8" t="s">
        <v>463</v>
      </c>
      <c r="E8" s="8" t="s">
        <v>398</v>
      </c>
      <c r="F8" s="8" t="s">
        <v>398</v>
      </c>
      <c r="G8" s="9" t="s">
        <v>454</v>
      </c>
      <c r="H8" s="10" t="s">
        <v>454</v>
      </c>
      <c r="I8" s="10" t="s">
        <v>454</v>
      </c>
      <c r="J8" s="10" t="s">
        <v>454</v>
      </c>
      <c r="K8" s="11">
        <v>1</v>
      </c>
      <c r="L8" s="11"/>
      <c r="M8" s="7" t="s">
        <v>726</v>
      </c>
      <c r="O8" s="4">
        <f t="shared" si="0"/>
        <v>1</v>
      </c>
    </row>
    <row r="9" spans="1:16" x14ac:dyDescent="0.35">
      <c r="A9" s="7">
        <v>7</v>
      </c>
      <c r="B9" s="8" t="s">
        <v>18</v>
      </c>
      <c r="C9" s="8" t="s">
        <v>17</v>
      </c>
      <c r="D9" s="8" t="s">
        <v>463</v>
      </c>
      <c r="E9" s="8" t="s">
        <v>398</v>
      </c>
      <c r="F9" s="8" t="s">
        <v>398</v>
      </c>
      <c r="G9" s="9" t="s">
        <v>454</v>
      </c>
      <c r="H9" s="10" t="s">
        <v>454</v>
      </c>
      <c r="I9" s="10" t="s">
        <v>454</v>
      </c>
      <c r="J9" s="10" t="s">
        <v>455</v>
      </c>
      <c r="K9" s="11">
        <v>1</v>
      </c>
      <c r="L9" s="11"/>
      <c r="M9" s="7" t="s">
        <v>726</v>
      </c>
      <c r="O9" s="4">
        <f t="shared" si="0"/>
        <v>0</v>
      </c>
    </row>
    <row r="10" spans="1:16" x14ac:dyDescent="0.35">
      <c r="A10" s="7">
        <v>8</v>
      </c>
      <c r="B10" s="8" t="s">
        <v>19</v>
      </c>
      <c r="C10" s="8" t="s">
        <v>20</v>
      </c>
      <c r="D10" s="8" t="s">
        <v>463</v>
      </c>
      <c r="E10" s="8" t="s">
        <v>398</v>
      </c>
      <c r="F10" s="8" t="s">
        <v>398</v>
      </c>
      <c r="G10" s="9" t="s">
        <v>454</v>
      </c>
      <c r="H10" s="10" t="s">
        <v>454</v>
      </c>
      <c r="I10" s="10" t="s">
        <v>454</v>
      </c>
      <c r="J10" s="10" t="s">
        <v>454</v>
      </c>
      <c r="K10" s="11">
        <v>1</v>
      </c>
      <c r="L10" s="11"/>
      <c r="M10" s="7" t="s">
        <v>726</v>
      </c>
      <c r="O10" s="4">
        <f t="shared" si="0"/>
        <v>1</v>
      </c>
    </row>
    <row r="11" spans="1:16" ht="43.5" x14ac:dyDescent="0.35">
      <c r="A11" s="7">
        <v>9</v>
      </c>
      <c r="B11" s="8" t="s">
        <v>21</v>
      </c>
      <c r="C11" s="8" t="s">
        <v>22</v>
      </c>
      <c r="D11" s="8" t="s">
        <v>463</v>
      </c>
      <c r="E11" s="8" t="s">
        <v>398</v>
      </c>
      <c r="F11" s="8" t="s">
        <v>398</v>
      </c>
      <c r="G11" s="9" t="s">
        <v>454</v>
      </c>
      <c r="H11" s="10" t="s">
        <v>454</v>
      </c>
      <c r="I11" s="10" t="s">
        <v>454</v>
      </c>
      <c r="J11" s="10" t="s">
        <v>455</v>
      </c>
      <c r="K11" s="11">
        <v>1</v>
      </c>
      <c r="L11" s="11"/>
      <c r="M11" s="7" t="s">
        <v>726</v>
      </c>
      <c r="O11" s="4">
        <f t="shared" si="0"/>
        <v>0</v>
      </c>
    </row>
    <row r="12" spans="1:16" ht="43.5" x14ac:dyDescent="0.35">
      <c r="A12" s="7">
        <v>10</v>
      </c>
      <c r="B12" s="8" t="s">
        <v>23</v>
      </c>
      <c r="C12" s="8" t="s">
        <v>24</v>
      </c>
      <c r="D12" s="8" t="s">
        <v>463</v>
      </c>
      <c r="E12" s="8" t="s">
        <v>464</v>
      </c>
      <c r="F12" s="8" t="s">
        <v>465</v>
      </c>
      <c r="G12" s="9" t="s">
        <v>454</v>
      </c>
      <c r="H12" s="10" t="s">
        <v>454</v>
      </c>
      <c r="I12" s="10" t="s">
        <v>454</v>
      </c>
      <c r="J12" s="10" t="s">
        <v>455</v>
      </c>
      <c r="K12" s="11">
        <v>1</v>
      </c>
      <c r="L12" s="11"/>
      <c r="M12" s="7" t="s">
        <v>727</v>
      </c>
      <c r="O12" s="4">
        <f t="shared" si="0"/>
        <v>0</v>
      </c>
    </row>
    <row r="13" spans="1:16" ht="43.5" x14ac:dyDescent="0.35">
      <c r="A13" s="7">
        <v>11</v>
      </c>
      <c r="B13" s="8" t="s">
        <v>25</v>
      </c>
      <c r="C13" s="8" t="s">
        <v>26</v>
      </c>
      <c r="D13" s="8" t="s">
        <v>463</v>
      </c>
      <c r="E13" s="8" t="s">
        <v>450</v>
      </c>
      <c r="F13" s="8" t="s">
        <v>466</v>
      </c>
      <c r="G13" s="9" t="s">
        <v>454</v>
      </c>
      <c r="H13" s="10" t="s">
        <v>454</v>
      </c>
      <c r="I13" s="10" t="s">
        <v>454</v>
      </c>
      <c r="J13" s="10" t="s">
        <v>455</v>
      </c>
      <c r="K13" s="11">
        <v>1</v>
      </c>
      <c r="L13" s="11"/>
      <c r="M13" s="7" t="s">
        <v>727</v>
      </c>
      <c r="O13" s="4">
        <f t="shared" si="0"/>
        <v>0</v>
      </c>
    </row>
    <row r="14" spans="1:16" ht="29" x14ac:dyDescent="0.35">
      <c r="A14" s="7">
        <v>12</v>
      </c>
      <c r="B14" s="8" t="s">
        <v>27</v>
      </c>
      <c r="C14" s="8" t="s">
        <v>28</v>
      </c>
      <c r="D14" s="8" t="s">
        <v>463</v>
      </c>
      <c r="E14" s="8" t="s">
        <v>352</v>
      </c>
      <c r="F14" s="8" t="s">
        <v>467</v>
      </c>
      <c r="G14" s="9" t="s">
        <v>454</v>
      </c>
      <c r="H14" s="10" t="s">
        <v>454</v>
      </c>
      <c r="I14" s="10" t="s">
        <v>454</v>
      </c>
      <c r="J14" s="10" t="s">
        <v>455</v>
      </c>
      <c r="K14" s="11">
        <v>1</v>
      </c>
      <c r="L14" s="11"/>
      <c r="M14" s="7" t="s">
        <v>727</v>
      </c>
      <c r="O14" s="4">
        <f t="shared" si="0"/>
        <v>0</v>
      </c>
    </row>
    <row r="15" spans="1:16" ht="29" x14ac:dyDescent="0.35">
      <c r="A15" s="7">
        <v>13</v>
      </c>
      <c r="B15" s="8" t="s">
        <v>29</v>
      </c>
      <c r="C15" s="8" t="s">
        <v>28</v>
      </c>
      <c r="D15" s="8" t="s">
        <v>463</v>
      </c>
      <c r="E15" s="8" t="s">
        <v>352</v>
      </c>
      <c r="F15" s="8" t="s">
        <v>467</v>
      </c>
      <c r="G15" s="9" t="s">
        <v>454</v>
      </c>
      <c r="H15" s="10" t="s">
        <v>454</v>
      </c>
      <c r="I15" s="10" t="s">
        <v>454</v>
      </c>
      <c r="J15" s="10" t="s">
        <v>455</v>
      </c>
      <c r="K15" s="11">
        <v>1</v>
      </c>
      <c r="L15" s="11"/>
      <c r="M15" s="7" t="s">
        <v>727</v>
      </c>
      <c r="O15" s="4">
        <f t="shared" si="0"/>
        <v>0</v>
      </c>
    </row>
    <row r="16" spans="1:16" ht="29" x14ac:dyDescent="0.35">
      <c r="A16" s="7">
        <v>14</v>
      </c>
      <c r="B16" s="8" t="s">
        <v>30</v>
      </c>
      <c r="C16" s="8" t="s">
        <v>28</v>
      </c>
      <c r="D16" s="8" t="s">
        <v>463</v>
      </c>
      <c r="E16" s="8" t="s">
        <v>352</v>
      </c>
      <c r="F16" s="8" t="s">
        <v>467</v>
      </c>
      <c r="G16" s="9" t="s">
        <v>454</v>
      </c>
      <c r="H16" s="10" t="s">
        <v>454</v>
      </c>
      <c r="I16" s="10" t="s">
        <v>454</v>
      </c>
      <c r="J16" s="10" t="s">
        <v>455</v>
      </c>
      <c r="K16" s="11">
        <v>1</v>
      </c>
      <c r="L16" s="11"/>
      <c r="M16" s="7" t="s">
        <v>727</v>
      </c>
      <c r="O16" s="4">
        <f t="shared" si="0"/>
        <v>0</v>
      </c>
    </row>
    <row r="17" spans="1:15" ht="29" x14ac:dyDescent="0.35">
      <c r="A17" s="7">
        <v>15</v>
      </c>
      <c r="B17" s="8" t="s">
        <v>31</v>
      </c>
      <c r="C17" s="8" t="s">
        <v>32</v>
      </c>
      <c r="D17" s="8" t="s">
        <v>463</v>
      </c>
      <c r="E17" s="8" t="s">
        <v>369</v>
      </c>
      <c r="F17" s="8" t="s">
        <v>468</v>
      </c>
      <c r="G17" s="9" t="s">
        <v>454</v>
      </c>
      <c r="H17" s="10" t="s">
        <v>454</v>
      </c>
      <c r="I17" s="10" t="s">
        <v>454</v>
      </c>
      <c r="J17" s="10" t="s">
        <v>455</v>
      </c>
      <c r="K17" s="11">
        <v>1</v>
      </c>
      <c r="L17" s="11"/>
      <c r="M17" s="7" t="s">
        <v>727</v>
      </c>
      <c r="O17" s="4">
        <f t="shared" si="0"/>
        <v>0</v>
      </c>
    </row>
    <row r="18" spans="1:15" ht="43.5" x14ac:dyDescent="0.35">
      <c r="A18" s="7">
        <v>16</v>
      </c>
      <c r="B18" s="8" t="s">
        <v>33</v>
      </c>
      <c r="C18" s="8" t="s">
        <v>34</v>
      </c>
      <c r="D18" s="8" t="s">
        <v>463</v>
      </c>
      <c r="E18" s="8" t="s">
        <v>469</v>
      </c>
      <c r="F18" s="8" t="s">
        <v>470</v>
      </c>
      <c r="G18" s="9" t="s">
        <v>454</v>
      </c>
      <c r="H18" s="10" t="s">
        <v>454</v>
      </c>
      <c r="I18" s="10" t="s">
        <v>454</v>
      </c>
      <c r="J18" s="10" t="s">
        <v>455</v>
      </c>
      <c r="K18" s="11">
        <v>1</v>
      </c>
      <c r="L18" s="11"/>
      <c r="M18" s="7" t="s">
        <v>727</v>
      </c>
      <c r="O18" s="4">
        <f t="shared" si="0"/>
        <v>0</v>
      </c>
    </row>
    <row r="19" spans="1:15" ht="29" x14ac:dyDescent="0.35">
      <c r="A19" s="7">
        <v>17</v>
      </c>
      <c r="B19" s="8" t="s">
        <v>35</v>
      </c>
      <c r="C19" s="8" t="s">
        <v>36</v>
      </c>
      <c r="D19" s="8" t="s">
        <v>463</v>
      </c>
      <c r="E19" s="8" t="s">
        <v>441</v>
      </c>
      <c r="F19" s="8" t="s">
        <v>471</v>
      </c>
      <c r="G19" s="9" t="s">
        <v>454</v>
      </c>
      <c r="H19" s="10" t="s">
        <v>454</v>
      </c>
      <c r="I19" s="10" t="s">
        <v>454</v>
      </c>
      <c r="J19" s="10" t="s">
        <v>455</v>
      </c>
      <c r="K19" s="11">
        <v>1</v>
      </c>
      <c r="L19" s="11"/>
      <c r="M19" s="7" t="s">
        <v>727</v>
      </c>
      <c r="O19" s="4">
        <f t="shared" si="0"/>
        <v>0</v>
      </c>
    </row>
    <row r="20" spans="1:15" x14ac:dyDescent="0.35">
      <c r="A20" s="7">
        <v>18</v>
      </c>
      <c r="B20" s="8" t="s">
        <v>37</v>
      </c>
      <c r="C20" s="8" t="s">
        <v>38</v>
      </c>
      <c r="D20" s="8" t="s">
        <v>463</v>
      </c>
      <c r="E20" s="8" t="s">
        <v>361</v>
      </c>
      <c r="F20" s="8" t="s">
        <v>472</v>
      </c>
      <c r="G20" s="9" t="s">
        <v>454</v>
      </c>
      <c r="H20" s="10" t="s">
        <v>454</v>
      </c>
      <c r="I20" s="10" t="s">
        <v>454</v>
      </c>
      <c r="J20" s="10" t="s">
        <v>455</v>
      </c>
      <c r="K20" s="11">
        <v>1</v>
      </c>
      <c r="L20" s="11"/>
      <c r="M20" s="7" t="s">
        <v>727</v>
      </c>
      <c r="O20" s="4">
        <f t="shared" si="0"/>
        <v>0</v>
      </c>
    </row>
    <row r="21" spans="1:15" ht="29" x14ac:dyDescent="0.35">
      <c r="A21" s="7">
        <v>19</v>
      </c>
      <c r="B21" s="8" t="s">
        <v>39</v>
      </c>
      <c r="C21" s="8" t="s">
        <v>40</v>
      </c>
      <c r="D21" s="8" t="s">
        <v>463</v>
      </c>
      <c r="E21" s="8" t="s">
        <v>374</v>
      </c>
      <c r="F21" s="8" t="s">
        <v>473</v>
      </c>
      <c r="G21" s="9" t="s">
        <v>454</v>
      </c>
      <c r="H21" s="10" t="s">
        <v>454</v>
      </c>
      <c r="I21" s="10" t="s">
        <v>454</v>
      </c>
      <c r="J21" s="10" t="s">
        <v>455</v>
      </c>
      <c r="K21" s="11">
        <v>1</v>
      </c>
      <c r="L21" s="11"/>
      <c r="M21" s="7" t="s">
        <v>727</v>
      </c>
      <c r="O21" s="4">
        <f t="shared" si="0"/>
        <v>0</v>
      </c>
    </row>
    <row r="22" spans="1:15" x14ac:dyDescent="0.35">
      <c r="A22" s="7">
        <v>20</v>
      </c>
      <c r="B22" s="8" t="s">
        <v>41</v>
      </c>
      <c r="C22" s="8" t="s">
        <v>42</v>
      </c>
      <c r="D22" s="8" t="s">
        <v>463</v>
      </c>
      <c r="E22" s="8" t="s">
        <v>386</v>
      </c>
      <c r="F22" s="8" t="s">
        <v>474</v>
      </c>
      <c r="G22" s="9" t="s">
        <v>454</v>
      </c>
      <c r="H22" s="10" t="s">
        <v>454</v>
      </c>
      <c r="I22" s="10" t="s">
        <v>454</v>
      </c>
      <c r="J22" s="10" t="s">
        <v>455</v>
      </c>
      <c r="K22" s="11">
        <v>1</v>
      </c>
      <c r="L22" s="11"/>
      <c r="M22" s="7" t="s">
        <v>727</v>
      </c>
      <c r="O22" s="4">
        <f t="shared" si="0"/>
        <v>0</v>
      </c>
    </row>
    <row r="23" spans="1:15" x14ac:dyDescent="0.35">
      <c r="A23" s="7">
        <v>21</v>
      </c>
      <c r="B23" s="8" t="s">
        <v>43</v>
      </c>
      <c r="C23" s="8" t="s">
        <v>44</v>
      </c>
      <c r="D23" s="8" t="s">
        <v>463</v>
      </c>
      <c r="E23" s="8" t="s">
        <v>398</v>
      </c>
      <c r="F23" s="8" t="s">
        <v>344</v>
      </c>
      <c r="G23" s="9" t="s">
        <v>454</v>
      </c>
      <c r="H23" s="10" t="s">
        <v>454</v>
      </c>
      <c r="I23" s="10" t="s">
        <v>454</v>
      </c>
      <c r="J23" s="10" t="s">
        <v>455</v>
      </c>
      <c r="K23" s="11">
        <v>1</v>
      </c>
      <c r="L23" s="11"/>
      <c r="M23" s="7" t="s">
        <v>727</v>
      </c>
      <c r="O23" s="4">
        <f t="shared" si="0"/>
        <v>0</v>
      </c>
    </row>
    <row r="24" spans="1:15" ht="43.5" x14ac:dyDescent="0.35">
      <c r="A24" s="7">
        <v>22</v>
      </c>
      <c r="B24" s="8" t="s">
        <v>45</v>
      </c>
      <c r="C24" s="8" t="s">
        <v>46</v>
      </c>
      <c r="D24" s="8" t="s">
        <v>463</v>
      </c>
      <c r="E24" s="8" t="s">
        <v>475</v>
      </c>
      <c r="F24" s="8" t="s">
        <v>344</v>
      </c>
      <c r="G24" s="9" t="s">
        <v>454</v>
      </c>
      <c r="H24" s="10" t="s">
        <v>454</v>
      </c>
      <c r="I24" s="10" t="s">
        <v>454</v>
      </c>
      <c r="J24" s="10" t="s">
        <v>455</v>
      </c>
      <c r="K24" s="11">
        <v>1</v>
      </c>
      <c r="L24" s="11"/>
      <c r="M24" s="7" t="s">
        <v>726</v>
      </c>
      <c r="O24" s="4">
        <f t="shared" si="0"/>
        <v>0</v>
      </c>
    </row>
    <row r="25" spans="1:15" x14ac:dyDescent="0.35">
      <c r="A25" s="7">
        <v>23</v>
      </c>
      <c r="B25" s="8" t="s">
        <v>47</v>
      </c>
      <c r="C25" s="8" t="s">
        <v>48</v>
      </c>
      <c r="D25" s="8" t="s">
        <v>463</v>
      </c>
      <c r="E25" s="8" t="s">
        <v>352</v>
      </c>
      <c r="F25" s="8" t="s">
        <v>344</v>
      </c>
      <c r="G25" s="9" t="s">
        <v>454</v>
      </c>
      <c r="H25" s="10" t="s">
        <v>454</v>
      </c>
      <c r="I25" s="10" t="s">
        <v>454</v>
      </c>
      <c r="J25" s="10" t="s">
        <v>455</v>
      </c>
      <c r="K25" s="11">
        <v>1</v>
      </c>
      <c r="L25" s="11"/>
      <c r="M25" s="7" t="s">
        <v>726</v>
      </c>
      <c r="O25" s="4">
        <f t="shared" si="0"/>
        <v>0</v>
      </c>
    </row>
    <row r="26" spans="1:15" x14ac:dyDescent="0.35">
      <c r="A26" s="7">
        <v>24</v>
      </c>
      <c r="B26" s="8" t="s">
        <v>49</v>
      </c>
      <c r="C26" s="8" t="s">
        <v>50</v>
      </c>
      <c r="D26" s="8" t="s">
        <v>463</v>
      </c>
      <c r="E26" s="8" t="s">
        <v>352</v>
      </c>
      <c r="F26" s="8" t="s">
        <v>476</v>
      </c>
      <c r="G26" s="9" t="s">
        <v>454</v>
      </c>
      <c r="H26" s="10" t="s">
        <v>454</v>
      </c>
      <c r="I26" s="10" t="s">
        <v>454</v>
      </c>
      <c r="J26" s="10" t="s">
        <v>455</v>
      </c>
      <c r="K26" s="11">
        <v>1</v>
      </c>
      <c r="L26" s="11"/>
      <c r="M26" s="7"/>
      <c r="O26" s="4">
        <f t="shared" si="0"/>
        <v>0</v>
      </c>
    </row>
    <row r="27" spans="1:15" x14ac:dyDescent="0.35">
      <c r="A27" s="7">
        <v>25</v>
      </c>
      <c r="B27" s="8" t="s">
        <v>51</v>
      </c>
      <c r="C27" s="8" t="s">
        <v>50</v>
      </c>
      <c r="D27" s="8" t="s">
        <v>463</v>
      </c>
      <c r="E27" s="8" t="s">
        <v>352</v>
      </c>
      <c r="F27" s="8" t="s">
        <v>344</v>
      </c>
      <c r="G27" s="9" t="s">
        <v>454</v>
      </c>
      <c r="H27" s="10" t="s">
        <v>454</v>
      </c>
      <c r="I27" s="13">
        <v>0</v>
      </c>
      <c r="J27" s="10" t="s">
        <v>455</v>
      </c>
      <c r="K27" s="11"/>
      <c r="L27" s="11">
        <v>1</v>
      </c>
      <c r="M27" s="7"/>
      <c r="O27" s="4">
        <f t="shared" si="0"/>
        <v>0</v>
      </c>
    </row>
    <row r="28" spans="1:15" ht="43.5" x14ac:dyDescent="0.35">
      <c r="A28" s="7">
        <v>26</v>
      </c>
      <c r="B28" s="8" t="s">
        <v>52</v>
      </c>
      <c r="C28" s="8" t="s">
        <v>15</v>
      </c>
      <c r="D28" s="8" t="s">
        <v>477</v>
      </c>
      <c r="E28" s="8" t="s">
        <v>352</v>
      </c>
      <c r="F28" s="8" t="s">
        <v>478</v>
      </c>
      <c r="G28" s="9" t="s">
        <v>454</v>
      </c>
      <c r="H28" s="10" t="s">
        <v>454</v>
      </c>
      <c r="I28" s="10" t="s">
        <v>454</v>
      </c>
      <c r="J28" s="10" t="s">
        <v>454</v>
      </c>
      <c r="K28" s="11">
        <v>1</v>
      </c>
      <c r="L28" s="11"/>
      <c r="M28" s="7" t="s">
        <v>727</v>
      </c>
      <c r="O28" s="4">
        <f t="shared" si="0"/>
        <v>1</v>
      </c>
    </row>
    <row r="29" spans="1:15" ht="43.5" x14ac:dyDescent="0.35">
      <c r="A29" s="7">
        <v>27</v>
      </c>
      <c r="B29" s="8" t="s">
        <v>53</v>
      </c>
      <c r="C29" s="8" t="s">
        <v>9</v>
      </c>
      <c r="D29" s="8" t="s">
        <v>477</v>
      </c>
      <c r="E29" s="8" t="s">
        <v>398</v>
      </c>
      <c r="F29" s="8" t="s">
        <v>398</v>
      </c>
      <c r="G29" s="9" t="s">
        <v>454</v>
      </c>
      <c r="H29" s="10" t="s">
        <v>454</v>
      </c>
      <c r="I29" s="10" t="s">
        <v>454</v>
      </c>
      <c r="J29" s="10" t="s">
        <v>455</v>
      </c>
      <c r="K29" s="11">
        <v>1</v>
      </c>
      <c r="L29" s="11"/>
      <c r="M29" s="7" t="s">
        <v>727</v>
      </c>
      <c r="O29" s="4">
        <f t="shared" si="0"/>
        <v>0</v>
      </c>
    </row>
    <row r="30" spans="1:15" ht="58" x14ac:dyDescent="0.35">
      <c r="A30" s="7">
        <v>28</v>
      </c>
      <c r="B30" s="8" t="s">
        <v>54</v>
      </c>
      <c r="C30" s="8" t="s">
        <v>46</v>
      </c>
      <c r="D30" s="8" t="s">
        <v>479</v>
      </c>
      <c r="E30" s="8" t="s">
        <v>480</v>
      </c>
      <c r="F30" s="8" t="s">
        <v>481</v>
      </c>
      <c r="G30" s="9" t="s">
        <v>454</v>
      </c>
      <c r="H30" s="10" t="s">
        <v>454</v>
      </c>
      <c r="I30" s="10" t="s">
        <v>454</v>
      </c>
      <c r="J30" s="10" t="s">
        <v>454</v>
      </c>
      <c r="K30" s="11">
        <v>1</v>
      </c>
      <c r="L30" s="11"/>
      <c r="M30" s="7" t="s">
        <v>727</v>
      </c>
      <c r="O30" s="4">
        <f t="shared" si="0"/>
        <v>1</v>
      </c>
    </row>
    <row r="31" spans="1:15" ht="58" x14ac:dyDescent="0.35">
      <c r="A31" s="7">
        <v>29</v>
      </c>
      <c r="B31" s="8" t="s">
        <v>55</v>
      </c>
      <c r="C31" s="8" t="s">
        <v>56</v>
      </c>
      <c r="D31" s="8" t="s">
        <v>479</v>
      </c>
      <c r="E31" s="8" t="s">
        <v>480</v>
      </c>
      <c r="F31" s="8" t="s">
        <v>481</v>
      </c>
      <c r="G31" s="9" t="s">
        <v>454</v>
      </c>
      <c r="H31" s="10" t="s">
        <v>454</v>
      </c>
      <c r="I31" s="10" t="s">
        <v>454</v>
      </c>
      <c r="J31" s="10" t="s">
        <v>455</v>
      </c>
      <c r="K31" s="11">
        <v>1</v>
      </c>
      <c r="L31" s="11"/>
      <c r="M31" s="7" t="s">
        <v>727</v>
      </c>
      <c r="O31" s="4">
        <f t="shared" si="0"/>
        <v>0</v>
      </c>
    </row>
    <row r="32" spans="1:15" ht="43.5" x14ac:dyDescent="0.35">
      <c r="A32" s="7">
        <v>30</v>
      </c>
      <c r="B32" s="8" t="s">
        <v>57</v>
      </c>
      <c r="C32" s="8" t="s">
        <v>58</v>
      </c>
      <c r="D32" s="8" t="s">
        <v>479</v>
      </c>
      <c r="E32" s="8" t="s">
        <v>480</v>
      </c>
      <c r="F32" s="8" t="s">
        <v>482</v>
      </c>
      <c r="G32" s="9" t="s">
        <v>454</v>
      </c>
      <c r="H32" s="10" t="s">
        <v>454</v>
      </c>
      <c r="I32" s="10" t="s">
        <v>454</v>
      </c>
      <c r="J32" s="10" t="s">
        <v>455</v>
      </c>
      <c r="K32" s="11">
        <v>1</v>
      </c>
      <c r="L32" s="11"/>
      <c r="M32" s="7" t="s">
        <v>727</v>
      </c>
      <c r="O32" s="4">
        <f t="shared" si="0"/>
        <v>0</v>
      </c>
    </row>
    <row r="33" spans="1:15" ht="58" x14ac:dyDescent="0.35">
      <c r="A33" s="7">
        <v>31</v>
      </c>
      <c r="B33" s="8" t="s">
        <v>59</v>
      </c>
      <c r="C33" s="8" t="s">
        <v>60</v>
      </c>
      <c r="D33" s="8" t="s">
        <v>479</v>
      </c>
      <c r="E33" s="8" t="s">
        <v>480</v>
      </c>
      <c r="F33" s="8" t="s">
        <v>481</v>
      </c>
      <c r="G33" s="9" t="s">
        <v>454</v>
      </c>
      <c r="H33" s="10" t="s">
        <v>454</v>
      </c>
      <c r="I33" s="10" t="s">
        <v>454</v>
      </c>
      <c r="J33" s="10" t="s">
        <v>455</v>
      </c>
      <c r="K33" s="11">
        <v>1</v>
      </c>
      <c r="L33" s="11"/>
      <c r="M33" s="7" t="s">
        <v>727</v>
      </c>
      <c r="O33" s="4">
        <f t="shared" si="0"/>
        <v>0</v>
      </c>
    </row>
    <row r="34" spans="1:15" ht="43.5" x14ac:dyDescent="0.35">
      <c r="A34" s="7">
        <v>32</v>
      </c>
      <c r="B34" s="8" t="s">
        <v>61</v>
      </c>
      <c r="C34" s="8" t="s">
        <v>9</v>
      </c>
      <c r="D34" s="8" t="s">
        <v>479</v>
      </c>
      <c r="E34" s="8" t="s">
        <v>480</v>
      </c>
      <c r="F34" s="8" t="s">
        <v>482</v>
      </c>
      <c r="G34" s="9" t="s">
        <v>454</v>
      </c>
      <c r="H34" s="10" t="s">
        <v>454</v>
      </c>
      <c r="I34" s="10" t="s">
        <v>454</v>
      </c>
      <c r="J34" s="10" t="s">
        <v>455</v>
      </c>
      <c r="K34" s="11">
        <v>1</v>
      </c>
      <c r="L34" s="11"/>
      <c r="M34" s="7" t="s">
        <v>727</v>
      </c>
      <c r="O34" s="4">
        <f t="shared" si="0"/>
        <v>0</v>
      </c>
    </row>
    <row r="35" spans="1:15" ht="43.5" x14ac:dyDescent="0.35">
      <c r="A35" s="7">
        <v>33</v>
      </c>
      <c r="B35" s="8" t="s">
        <v>62</v>
      </c>
      <c r="C35" s="8" t="s">
        <v>63</v>
      </c>
      <c r="D35" s="8" t="s">
        <v>479</v>
      </c>
      <c r="E35" s="8" t="s">
        <v>480</v>
      </c>
      <c r="F35" s="8" t="s">
        <v>482</v>
      </c>
      <c r="G35" s="9" t="s">
        <v>454</v>
      </c>
      <c r="H35" s="10" t="s">
        <v>454</v>
      </c>
      <c r="I35" s="10" t="s">
        <v>454</v>
      </c>
      <c r="J35" s="10" t="s">
        <v>455</v>
      </c>
      <c r="K35" s="11">
        <v>1</v>
      </c>
      <c r="L35" s="11"/>
      <c r="M35" s="7" t="s">
        <v>727</v>
      </c>
      <c r="O35" s="4">
        <f t="shared" si="0"/>
        <v>0</v>
      </c>
    </row>
    <row r="36" spans="1:15" ht="29" x14ac:dyDescent="0.35">
      <c r="A36" s="7">
        <v>34</v>
      </c>
      <c r="B36" s="8" t="s">
        <v>64</v>
      </c>
      <c r="C36" s="8" t="s">
        <v>65</v>
      </c>
      <c r="D36" s="8" t="s">
        <v>483</v>
      </c>
      <c r="E36" s="8" t="s">
        <v>398</v>
      </c>
      <c r="F36" s="8" t="s">
        <v>484</v>
      </c>
      <c r="G36" s="9" t="s">
        <v>454</v>
      </c>
      <c r="H36" s="10" t="s">
        <v>454</v>
      </c>
      <c r="I36" s="10" t="s">
        <v>454</v>
      </c>
      <c r="J36" s="10" t="s">
        <v>455</v>
      </c>
      <c r="K36" s="11">
        <v>1</v>
      </c>
      <c r="L36" s="11"/>
      <c r="M36" s="7" t="s">
        <v>727</v>
      </c>
      <c r="O36" s="4">
        <f t="shared" si="0"/>
        <v>0</v>
      </c>
    </row>
    <row r="37" spans="1:15" ht="29" x14ac:dyDescent="0.35">
      <c r="A37" s="7">
        <v>35</v>
      </c>
      <c r="B37" s="8" t="s">
        <v>66</v>
      </c>
      <c r="C37" s="8" t="s">
        <v>9</v>
      </c>
      <c r="D37" s="8" t="s">
        <v>483</v>
      </c>
      <c r="E37" s="8" t="s">
        <v>485</v>
      </c>
      <c r="F37" s="8" t="s">
        <v>486</v>
      </c>
      <c r="G37" s="9" t="s">
        <v>454</v>
      </c>
      <c r="H37" s="10" t="s">
        <v>454</v>
      </c>
      <c r="I37" s="10" t="s">
        <v>454</v>
      </c>
      <c r="J37" s="10" t="s">
        <v>454</v>
      </c>
      <c r="K37" s="11">
        <v>1</v>
      </c>
      <c r="L37" s="11"/>
      <c r="M37" s="7" t="s">
        <v>727</v>
      </c>
      <c r="O37" s="4">
        <f t="shared" si="0"/>
        <v>1</v>
      </c>
    </row>
    <row r="38" spans="1:15" ht="29" x14ac:dyDescent="0.35">
      <c r="A38" s="7">
        <v>36</v>
      </c>
      <c r="B38" s="8" t="s">
        <v>67</v>
      </c>
      <c r="C38" s="8" t="s">
        <v>9</v>
      </c>
      <c r="D38" s="8" t="s">
        <v>483</v>
      </c>
      <c r="E38" s="8" t="s">
        <v>485</v>
      </c>
      <c r="F38" s="8" t="s">
        <v>487</v>
      </c>
      <c r="G38" s="9" t="s">
        <v>454</v>
      </c>
      <c r="H38" s="10" t="s">
        <v>454</v>
      </c>
      <c r="I38" s="10" t="s">
        <v>454</v>
      </c>
      <c r="J38" s="10" t="s">
        <v>454</v>
      </c>
      <c r="K38" s="11">
        <v>1</v>
      </c>
      <c r="L38" s="11"/>
      <c r="M38" s="7" t="s">
        <v>727</v>
      </c>
      <c r="O38" s="4">
        <f t="shared" si="0"/>
        <v>1</v>
      </c>
    </row>
    <row r="39" spans="1:15" ht="58" x14ac:dyDescent="0.35">
      <c r="A39" s="7">
        <v>37</v>
      </c>
      <c r="B39" s="8" t="s">
        <v>68</v>
      </c>
      <c r="C39" s="8" t="s">
        <v>42</v>
      </c>
      <c r="D39" s="8" t="s">
        <v>483</v>
      </c>
      <c r="E39" s="8" t="s">
        <v>386</v>
      </c>
      <c r="F39" s="8" t="s">
        <v>488</v>
      </c>
      <c r="G39" s="9" t="s">
        <v>454</v>
      </c>
      <c r="H39" s="10" t="s">
        <v>454</v>
      </c>
      <c r="I39" s="10" t="s">
        <v>454</v>
      </c>
      <c r="J39" s="10" t="s">
        <v>454</v>
      </c>
      <c r="K39" s="11">
        <v>1</v>
      </c>
      <c r="L39" s="11"/>
      <c r="M39" s="7" t="s">
        <v>727</v>
      </c>
      <c r="O39" s="4">
        <f t="shared" si="0"/>
        <v>1</v>
      </c>
    </row>
    <row r="40" spans="1:15" ht="29" x14ac:dyDescent="0.35">
      <c r="A40" s="7">
        <v>38</v>
      </c>
      <c r="B40" s="8" t="s">
        <v>69</v>
      </c>
      <c r="C40" s="8" t="s">
        <v>70</v>
      </c>
      <c r="D40" s="8" t="s">
        <v>483</v>
      </c>
      <c r="E40" s="8" t="s">
        <v>369</v>
      </c>
      <c r="F40" s="8" t="s">
        <v>489</v>
      </c>
      <c r="G40" s="9" t="s">
        <v>454</v>
      </c>
      <c r="H40" s="10" t="s">
        <v>454</v>
      </c>
      <c r="I40" s="10" t="s">
        <v>454</v>
      </c>
      <c r="J40" s="10" t="s">
        <v>455</v>
      </c>
      <c r="K40" s="11">
        <v>1</v>
      </c>
      <c r="L40" s="11"/>
      <c r="M40" s="7" t="s">
        <v>727</v>
      </c>
      <c r="O40" s="4">
        <f t="shared" si="0"/>
        <v>0</v>
      </c>
    </row>
    <row r="41" spans="1:15" ht="58" x14ac:dyDescent="0.35">
      <c r="A41" s="7">
        <v>39</v>
      </c>
      <c r="B41" s="8" t="s">
        <v>71</v>
      </c>
      <c r="C41" s="8" t="s">
        <v>72</v>
      </c>
      <c r="D41" s="8" t="s">
        <v>483</v>
      </c>
      <c r="E41" s="8" t="s">
        <v>352</v>
      </c>
      <c r="F41" s="8" t="s">
        <v>490</v>
      </c>
      <c r="G41" s="9" t="s">
        <v>454</v>
      </c>
      <c r="H41" s="10" t="s">
        <v>454</v>
      </c>
      <c r="I41" s="10" t="s">
        <v>454</v>
      </c>
      <c r="J41" s="10" t="s">
        <v>454</v>
      </c>
      <c r="K41" s="11">
        <v>1</v>
      </c>
      <c r="L41" s="11"/>
      <c r="M41" s="7" t="s">
        <v>727</v>
      </c>
      <c r="O41" s="4">
        <f t="shared" si="0"/>
        <v>1</v>
      </c>
    </row>
    <row r="42" spans="1:15" ht="29" x14ac:dyDescent="0.35">
      <c r="A42" s="7">
        <v>40</v>
      </c>
      <c r="B42" s="8" t="s">
        <v>73</v>
      </c>
      <c r="C42" s="8" t="s">
        <v>72</v>
      </c>
      <c r="D42" s="8" t="s">
        <v>483</v>
      </c>
      <c r="E42" s="8" t="s">
        <v>426</v>
      </c>
      <c r="F42" s="8" t="s">
        <v>491</v>
      </c>
      <c r="G42" s="9" t="s">
        <v>454</v>
      </c>
      <c r="H42" s="10" t="s">
        <v>454</v>
      </c>
      <c r="I42" s="10" t="s">
        <v>454</v>
      </c>
      <c r="J42" s="10" t="s">
        <v>454</v>
      </c>
      <c r="K42" s="11">
        <v>1</v>
      </c>
      <c r="L42" s="11"/>
      <c r="M42" s="7" t="s">
        <v>727</v>
      </c>
      <c r="O42" s="4">
        <f t="shared" si="0"/>
        <v>1</v>
      </c>
    </row>
    <row r="43" spans="1:15" x14ac:dyDescent="0.35">
      <c r="A43" s="7">
        <v>41</v>
      </c>
      <c r="B43" s="8" t="s">
        <v>74</v>
      </c>
      <c r="C43" s="8" t="s">
        <v>46</v>
      </c>
      <c r="D43" s="8" t="s">
        <v>483</v>
      </c>
      <c r="E43" s="8" t="s">
        <v>361</v>
      </c>
      <c r="F43" s="8" t="s">
        <v>492</v>
      </c>
      <c r="G43" s="9" t="s">
        <v>454</v>
      </c>
      <c r="H43" s="10" t="s">
        <v>454</v>
      </c>
      <c r="I43" s="10" t="s">
        <v>454</v>
      </c>
      <c r="J43" s="10" t="s">
        <v>455</v>
      </c>
      <c r="K43" s="11">
        <v>1</v>
      </c>
      <c r="L43" s="11"/>
      <c r="M43" s="7" t="s">
        <v>727</v>
      </c>
      <c r="O43" s="4">
        <f t="shared" si="0"/>
        <v>0</v>
      </c>
    </row>
    <row r="44" spans="1:15" ht="29" x14ac:dyDescent="0.35">
      <c r="A44" s="7">
        <v>42</v>
      </c>
      <c r="B44" s="8" t="s">
        <v>75</v>
      </c>
      <c r="C44" s="8" t="s">
        <v>46</v>
      </c>
      <c r="D44" s="8" t="s">
        <v>483</v>
      </c>
      <c r="E44" s="8" t="s">
        <v>493</v>
      </c>
      <c r="F44" s="8" t="s">
        <v>494</v>
      </c>
      <c r="G44" s="9" t="s">
        <v>454</v>
      </c>
      <c r="H44" s="10" t="s">
        <v>454</v>
      </c>
      <c r="I44" s="10" t="s">
        <v>454</v>
      </c>
      <c r="J44" s="10" t="s">
        <v>455</v>
      </c>
      <c r="K44" s="11">
        <v>1</v>
      </c>
      <c r="L44" s="11"/>
      <c r="M44" s="7" t="s">
        <v>727</v>
      </c>
      <c r="O44" s="4">
        <f t="shared" si="0"/>
        <v>0</v>
      </c>
    </row>
    <row r="45" spans="1:15" x14ac:dyDescent="0.35">
      <c r="A45" s="7">
        <v>43</v>
      </c>
      <c r="B45" s="8" t="s">
        <v>76</v>
      </c>
      <c r="C45" s="8" t="s">
        <v>9</v>
      </c>
      <c r="D45" s="8" t="s">
        <v>495</v>
      </c>
      <c r="E45" s="8" t="s">
        <v>496</v>
      </c>
      <c r="F45" s="8" t="s">
        <v>497</v>
      </c>
      <c r="G45" s="9" t="s">
        <v>454</v>
      </c>
      <c r="H45" s="10" t="s">
        <v>454</v>
      </c>
      <c r="I45" s="10" t="s">
        <v>454</v>
      </c>
      <c r="J45" s="10" t="s">
        <v>454</v>
      </c>
      <c r="K45" s="11">
        <v>1</v>
      </c>
      <c r="L45" s="11"/>
      <c r="M45" s="7" t="s">
        <v>727</v>
      </c>
      <c r="O45" s="4">
        <f t="shared" si="0"/>
        <v>1</v>
      </c>
    </row>
    <row r="46" spans="1:15" ht="29" x14ac:dyDescent="0.35">
      <c r="A46" s="7">
        <v>44</v>
      </c>
      <c r="B46" s="8" t="s">
        <v>77</v>
      </c>
      <c r="C46" s="8" t="s">
        <v>9</v>
      </c>
      <c r="D46" s="8" t="s">
        <v>495</v>
      </c>
      <c r="E46" s="8" t="s">
        <v>364</v>
      </c>
      <c r="F46" s="8" t="s">
        <v>498</v>
      </c>
      <c r="G46" s="9" t="s">
        <v>454</v>
      </c>
      <c r="H46" s="10" t="s">
        <v>454</v>
      </c>
      <c r="I46" s="10" t="s">
        <v>454</v>
      </c>
      <c r="J46" s="10" t="s">
        <v>454</v>
      </c>
      <c r="K46" s="11">
        <v>1</v>
      </c>
      <c r="L46" s="11"/>
      <c r="M46" s="7" t="s">
        <v>727</v>
      </c>
      <c r="O46" s="4">
        <f t="shared" si="0"/>
        <v>1</v>
      </c>
    </row>
    <row r="47" spans="1:15" ht="29" x14ac:dyDescent="0.35">
      <c r="A47" s="7">
        <v>45</v>
      </c>
      <c r="B47" s="8" t="s">
        <v>78</v>
      </c>
      <c r="C47" s="8" t="s">
        <v>9</v>
      </c>
      <c r="D47" s="8" t="s">
        <v>495</v>
      </c>
      <c r="E47" s="8" t="s">
        <v>499</v>
      </c>
      <c r="F47" s="8" t="s">
        <v>500</v>
      </c>
      <c r="G47" s="9" t="s">
        <v>454</v>
      </c>
      <c r="H47" s="10" t="s">
        <v>454</v>
      </c>
      <c r="I47" s="10" t="s">
        <v>454</v>
      </c>
      <c r="J47" s="10" t="s">
        <v>454</v>
      </c>
      <c r="K47" s="11">
        <v>1</v>
      </c>
      <c r="L47" s="11"/>
      <c r="M47" s="7" t="s">
        <v>727</v>
      </c>
      <c r="O47" s="4">
        <f t="shared" si="0"/>
        <v>1</v>
      </c>
    </row>
    <row r="48" spans="1:15" x14ac:dyDescent="0.35">
      <c r="A48" s="7">
        <v>46</v>
      </c>
      <c r="B48" s="8" t="s">
        <v>79</v>
      </c>
      <c r="C48" s="8" t="s">
        <v>9</v>
      </c>
      <c r="D48" s="8" t="s">
        <v>495</v>
      </c>
      <c r="E48" s="8" t="s">
        <v>501</v>
      </c>
      <c r="F48" s="8" t="s">
        <v>502</v>
      </c>
      <c r="G48" s="9" t="s">
        <v>454</v>
      </c>
      <c r="H48" s="10" t="s">
        <v>454</v>
      </c>
      <c r="I48" s="10" t="s">
        <v>454</v>
      </c>
      <c r="J48" s="10" t="s">
        <v>454</v>
      </c>
      <c r="K48" s="11">
        <v>1</v>
      </c>
      <c r="L48" s="11"/>
      <c r="M48" s="7" t="s">
        <v>727</v>
      </c>
      <c r="O48" s="4">
        <f t="shared" si="0"/>
        <v>1</v>
      </c>
    </row>
    <row r="49" spans="1:15" x14ac:dyDescent="0.35">
      <c r="A49" s="7">
        <v>47</v>
      </c>
      <c r="B49" s="8" t="s">
        <v>80</v>
      </c>
      <c r="C49" s="8" t="s">
        <v>9</v>
      </c>
      <c r="D49" s="8" t="s">
        <v>495</v>
      </c>
      <c r="E49" s="8" t="s">
        <v>501</v>
      </c>
      <c r="F49" s="8" t="s">
        <v>503</v>
      </c>
      <c r="G49" s="9" t="s">
        <v>454</v>
      </c>
      <c r="H49" s="10" t="s">
        <v>454</v>
      </c>
      <c r="I49" s="10" t="s">
        <v>454</v>
      </c>
      <c r="J49" s="10" t="s">
        <v>454</v>
      </c>
      <c r="K49" s="11">
        <v>1</v>
      </c>
      <c r="L49" s="11"/>
      <c r="M49" s="7" t="s">
        <v>727</v>
      </c>
      <c r="O49" s="4">
        <f t="shared" si="0"/>
        <v>1</v>
      </c>
    </row>
    <row r="50" spans="1:15" ht="29" x14ac:dyDescent="0.35">
      <c r="A50" s="7">
        <v>48</v>
      </c>
      <c r="B50" s="8" t="s">
        <v>81</v>
      </c>
      <c r="C50" s="8" t="s">
        <v>9</v>
      </c>
      <c r="D50" s="8" t="s">
        <v>495</v>
      </c>
      <c r="E50" s="8" t="s">
        <v>504</v>
      </c>
      <c r="F50" s="8" t="s">
        <v>505</v>
      </c>
      <c r="G50" s="9" t="s">
        <v>454</v>
      </c>
      <c r="H50" s="10" t="s">
        <v>454</v>
      </c>
      <c r="I50" s="10" t="s">
        <v>454</v>
      </c>
      <c r="J50" s="10" t="s">
        <v>454</v>
      </c>
      <c r="K50" s="11">
        <v>1</v>
      </c>
      <c r="L50" s="11"/>
      <c r="M50" s="7" t="s">
        <v>727</v>
      </c>
      <c r="O50" s="4">
        <f t="shared" si="0"/>
        <v>1</v>
      </c>
    </row>
    <row r="51" spans="1:15" x14ac:dyDescent="0.35">
      <c r="A51" s="7">
        <v>49</v>
      </c>
      <c r="B51" s="8" t="s">
        <v>82</v>
      </c>
      <c r="C51" s="8" t="s">
        <v>9</v>
      </c>
      <c r="D51" s="8" t="s">
        <v>495</v>
      </c>
      <c r="E51" s="8" t="s">
        <v>361</v>
      </c>
      <c r="F51" s="8" t="s">
        <v>506</v>
      </c>
      <c r="G51" s="9" t="s">
        <v>454</v>
      </c>
      <c r="H51" s="10" t="s">
        <v>454</v>
      </c>
      <c r="I51" s="10" t="s">
        <v>454</v>
      </c>
      <c r="J51" s="10" t="s">
        <v>454</v>
      </c>
      <c r="K51" s="11">
        <v>1</v>
      </c>
      <c r="L51" s="11"/>
      <c r="M51" s="7" t="s">
        <v>727</v>
      </c>
      <c r="O51" s="4">
        <f t="shared" si="0"/>
        <v>1</v>
      </c>
    </row>
    <row r="52" spans="1:15" ht="29" x14ac:dyDescent="0.35">
      <c r="A52" s="7">
        <v>50</v>
      </c>
      <c r="B52" s="8" t="s">
        <v>83</v>
      </c>
      <c r="C52" s="8" t="s">
        <v>9</v>
      </c>
      <c r="D52" s="8" t="s">
        <v>495</v>
      </c>
      <c r="E52" s="8" t="s">
        <v>426</v>
      </c>
      <c r="F52" s="8" t="s">
        <v>507</v>
      </c>
      <c r="G52" s="9" t="s">
        <v>454</v>
      </c>
      <c r="H52" s="10" t="s">
        <v>454</v>
      </c>
      <c r="I52" s="10" t="s">
        <v>454</v>
      </c>
      <c r="J52" s="10" t="s">
        <v>454</v>
      </c>
      <c r="K52" s="11">
        <v>1</v>
      </c>
      <c r="L52" s="11"/>
      <c r="M52" s="7" t="s">
        <v>727</v>
      </c>
      <c r="O52" s="4">
        <f t="shared" si="0"/>
        <v>1</v>
      </c>
    </row>
    <row r="53" spans="1:15" ht="29" x14ac:dyDescent="0.35">
      <c r="A53" s="7">
        <v>51</v>
      </c>
      <c r="B53" s="8" t="s">
        <v>84</v>
      </c>
      <c r="C53" s="8" t="s">
        <v>9</v>
      </c>
      <c r="D53" s="8" t="s">
        <v>495</v>
      </c>
      <c r="E53" s="8" t="s">
        <v>426</v>
      </c>
      <c r="F53" s="8" t="s">
        <v>508</v>
      </c>
      <c r="G53" s="9" t="s">
        <v>454</v>
      </c>
      <c r="H53" s="10" t="s">
        <v>454</v>
      </c>
      <c r="I53" s="10" t="s">
        <v>454</v>
      </c>
      <c r="J53" s="10" t="s">
        <v>454</v>
      </c>
      <c r="K53" s="11">
        <v>1</v>
      </c>
      <c r="L53" s="11"/>
      <c r="M53" s="7" t="s">
        <v>727</v>
      </c>
      <c r="O53" s="4">
        <f t="shared" si="0"/>
        <v>1</v>
      </c>
    </row>
    <row r="54" spans="1:15" ht="29" x14ac:dyDescent="0.35">
      <c r="A54" s="7">
        <v>52</v>
      </c>
      <c r="B54" s="8" t="s">
        <v>85</v>
      </c>
      <c r="C54" s="8" t="s">
        <v>9</v>
      </c>
      <c r="D54" s="8" t="s">
        <v>495</v>
      </c>
      <c r="E54" s="8" t="s">
        <v>426</v>
      </c>
      <c r="F54" s="8" t="s">
        <v>509</v>
      </c>
      <c r="G54" s="9" t="s">
        <v>454</v>
      </c>
      <c r="H54" s="10" t="s">
        <v>454</v>
      </c>
      <c r="I54" s="10" t="s">
        <v>454</v>
      </c>
      <c r="J54" s="10" t="s">
        <v>454</v>
      </c>
      <c r="K54" s="11">
        <v>1</v>
      </c>
      <c r="L54" s="11"/>
      <c r="M54" s="7" t="s">
        <v>727</v>
      </c>
      <c r="O54" s="4">
        <f t="shared" si="0"/>
        <v>1</v>
      </c>
    </row>
    <row r="55" spans="1:15" ht="29" x14ac:dyDescent="0.35">
      <c r="A55" s="7">
        <v>53</v>
      </c>
      <c r="B55" s="8" t="s">
        <v>86</v>
      </c>
      <c r="C55" s="8" t="s">
        <v>9</v>
      </c>
      <c r="D55" s="8" t="s">
        <v>495</v>
      </c>
      <c r="E55" s="8" t="s">
        <v>426</v>
      </c>
      <c r="F55" s="8" t="s">
        <v>510</v>
      </c>
      <c r="G55" s="9" t="s">
        <v>454</v>
      </c>
      <c r="H55" s="10" t="s">
        <v>454</v>
      </c>
      <c r="I55" s="10" t="s">
        <v>454</v>
      </c>
      <c r="J55" s="10" t="s">
        <v>454</v>
      </c>
      <c r="K55" s="11">
        <v>1</v>
      </c>
      <c r="L55" s="11"/>
      <c r="M55" s="7" t="s">
        <v>727</v>
      </c>
      <c r="O55" s="4">
        <f t="shared" si="0"/>
        <v>1</v>
      </c>
    </row>
    <row r="56" spans="1:15" ht="29" x14ac:dyDescent="0.35">
      <c r="A56" s="7">
        <v>54</v>
      </c>
      <c r="B56" s="8" t="s">
        <v>87</v>
      </c>
      <c r="C56" s="8" t="s">
        <v>9</v>
      </c>
      <c r="D56" s="8" t="s">
        <v>495</v>
      </c>
      <c r="E56" s="8" t="s">
        <v>396</v>
      </c>
      <c r="F56" s="8" t="s">
        <v>511</v>
      </c>
      <c r="G56" s="9" t="s">
        <v>454</v>
      </c>
      <c r="H56" s="10" t="s">
        <v>454</v>
      </c>
      <c r="I56" s="10" t="s">
        <v>454</v>
      </c>
      <c r="J56" s="10" t="s">
        <v>454</v>
      </c>
      <c r="K56" s="11">
        <v>1</v>
      </c>
      <c r="L56" s="11"/>
      <c r="M56" s="7" t="s">
        <v>727</v>
      </c>
      <c r="O56" s="4">
        <f t="shared" si="0"/>
        <v>1</v>
      </c>
    </row>
    <row r="57" spans="1:15" ht="29" x14ac:dyDescent="0.35">
      <c r="A57" s="7">
        <v>55</v>
      </c>
      <c r="B57" s="8" t="s">
        <v>88</v>
      </c>
      <c r="C57" s="8" t="s">
        <v>9</v>
      </c>
      <c r="D57" s="8" t="s">
        <v>495</v>
      </c>
      <c r="E57" s="8" t="s">
        <v>396</v>
      </c>
      <c r="F57" s="8" t="s">
        <v>512</v>
      </c>
      <c r="G57" s="9" t="s">
        <v>454</v>
      </c>
      <c r="H57" s="10" t="s">
        <v>454</v>
      </c>
      <c r="I57" s="10" t="s">
        <v>454</v>
      </c>
      <c r="J57" s="10" t="s">
        <v>454</v>
      </c>
      <c r="K57" s="11">
        <v>1</v>
      </c>
      <c r="L57" s="11"/>
      <c r="M57" s="7" t="s">
        <v>727</v>
      </c>
      <c r="O57" s="4">
        <f t="shared" si="0"/>
        <v>1</v>
      </c>
    </row>
    <row r="58" spans="1:15" x14ac:dyDescent="0.35">
      <c r="A58" s="7">
        <v>56</v>
      </c>
      <c r="B58" s="8" t="s">
        <v>89</v>
      </c>
      <c r="C58" s="8" t="s">
        <v>9</v>
      </c>
      <c r="D58" s="8" t="s">
        <v>495</v>
      </c>
      <c r="E58" s="8" t="s">
        <v>354</v>
      </c>
      <c r="F58" s="8" t="s">
        <v>513</v>
      </c>
      <c r="G58" s="9" t="s">
        <v>454</v>
      </c>
      <c r="H58" s="10" t="s">
        <v>454</v>
      </c>
      <c r="I58" s="10" t="s">
        <v>454</v>
      </c>
      <c r="J58" s="10" t="s">
        <v>454</v>
      </c>
      <c r="K58" s="11">
        <v>1</v>
      </c>
      <c r="L58" s="11"/>
      <c r="M58" s="7" t="s">
        <v>727</v>
      </c>
      <c r="O58" s="4">
        <f t="shared" si="0"/>
        <v>1</v>
      </c>
    </row>
    <row r="59" spans="1:15" ht="29" x14ac:dyDescent="0.35">
      <c r="A59" s="7">
        <v>57</v>
      </c>
      <c r="B59" s="8" t="s">
        <v>90</v>
      </c>
      <c r="C59" s="8" t="s">
        <v>9</v>
      </c>
      <c r="D59" s="8" t="s">
        <v>495</v>
      </c>
      <c r="E59" s="8" t="s">
        <v>514</v>
      </c>
      <c r="F59" s="8" t="s">
        <v>515</v>
      </c>
      <c r="G59" s="9" t="s">
        <v>454</v>
      </c>
      <c r="H59" s="10" t="s">
        <v>454</v>
      </c>
      <c r="I59" s="10" t="s">
        <v>454</v>
      </c>
      <c r="J59" s="10" t="s">
        <v>454</v>
      </c>
      <c r="K59" s="11">
        <v>1</v>
      </c>
      <c r="L59" s="11"/>
      <c r="M59" s="7" t="s">
        <v>727</v>
      </c>
      <c r="O59" s="4">
        <f t="shared" si="0"/>
        <v>1</v>
      </c>
    </row>
    <row r="60" spans="1:15" x14ac:dyDescent="0.35">
      <c r="A60" s="7">
        <v>58</v>
      </c>
      <c r="B60" s="8" t="s">
        <v>91</v>
      </c>
      <c r="C60" s="8" t="s">
        <v>9</v>
      </c>
      <c r="D60" s="8" t="s">
        <v>495</v>
      </c>
      <c r="E60" s="8" t="s">
        <v>369</v>
      </c>
      <c r="F60" s="8" t="s">
        <v>516</v>
      </c>
      <c r="G60" s="9" t="s">
        <v>454</v>
      </c>
      <c r="H60" s="10" t="s">
        <v>454</v>
      </c>
      <c r="I60" s="10" t="s">
        <v>454</v>
      </c>
      <c r="J60" s="10" t="s">
        <v>454</v>
      </c>
      <c r="K60" s="11">
        <v>1</v>
      </c>
      <c r="L60" s="11"/>
      <c r="M60" s="7" t="s">
        <v>727</v>
      </c>
      <c r="O60" s="4">
        <f t="shared" si="0"/>
        <v>1</v>
      </c>
    </row>
    <row r="61" spans="1:15" x14ac:dyDescent="0.35">
      <c r="A61" s="7">
        <v>59</v>
      </c>
      <c r="B61" s="8" t="s">
        <v>92</v>
      </c>
      <c r="C61" s="8" t="s">
        <v>9</v>
      </c>
      <c r="D61" s="8" t="s">
        <v>495</v>
      </c>
      <c r="E61" s="8" t="s">
        <v>369</v>
      </c>
      <c r="F61" s="8" t="s">
        <v>517</v>
      </c>
      <c r="G61" s="9" t="s">
        <v>454</v>
      </c>
      <c r="H61" s="10" t="s">
        <v>454</v>
      </c>
      <c r="I61" s="10" t="s">
        <v>454</v>
      </c>
      <c r="J61" s="10" t="s">
        <v>454</v>
      </c>
      <c r="K61" s="11">
        <v>1</v>
      </c>
      <c r="L61" s="11"/>
      <c r="M61" s="7" t="s">
        <v>727</v>
      </c>
      <c r="O61" s="4">
        <f t="shared" si="0"/>
        <v>1</v>
      </c>
    </row>
    <row r="62" spans="1:15" x14ac:dyDescent="0.35">
      <c r="A62" s="7">
        <v>60</v>
      </c>
      <c r="B62" s="8" t="s">
        <v>93</v>
      </c>
      <c r="C62" s="8" t="s">
        <v>9</v>
      </c>
      <c r="D62" s="8" t="s">
        <v>495</v>
      </c>
      <c r="E62" s="8" t="s">
        <v>369</v>
      </c>
      <c r="F62" s="8" t="s">
        <v>518</v>
      </c>
      <c r="G62" s="9" t="s">
        <v>454</v>
      </c>
      <c r="H62" s="10" t="s">
        <v>454</v>
      </c>
      <c r="I62" s="10" t="s">
        <v>454</v>
      </c>
      <c r="J62" s="10" t="s">
        <v>454</v>
      </c>
      <c r="K62" s="11">
        <v>1</v>
      </c>
      <c r="L62" s="11"/>
      <c r="M62" s="7" t="s">
        <v>727</v>
      </c>
      <c r="O62" s="4">
        <f t="shared" si="0"/>
        <v>1</v>
      </c>
    </row>
    <row r="63" spans="1:15" x14ac:dyDescent="0.35">
      <c r="A63" s="7">
        <v>61</v>
      </c>
      <c r="B63" s="8" t="s">
        <v>94</v>
      </c>
      <c r="C63" s="8" t="s">
        <v>9</v>
      </c>
      <c r="D63" s="8" t="s">
        <v>495</v>
      </c>
      <c r="E63" s="8" t="s">
        <v>450</v>
      </c>
      <c r="F63" s="8" t="s">
        <v>519</v>
      </c>
      <c r="G63" s="9" t="s">
        <v>454</v>
      </c>
      <c r="H63" s="10" t="s">
        <v>454</v>
      </c>
      <c r="I63" s="10" t="s">
        <v>454</v>
      </c>
      <c r="J63" s="10" t="s">
        <v>454</v>
      </c>
      <c r="K63" s="11">
        <v>1</v>
      </c>
      <c r="L63" s="11"/>
      <c r="M63" s="7" t="s">
        <v>727</v>
      </c>
      <c r="O63" s="4">
        <f t="shared" si="0"/>
        <v>1</v>
      </c>
    </row>
    <row r="64" spans="1:15" ht="29" x14ac:dyDescent="0.35">
      <c r="A64" s="7">
        <v>62</v>
      </c>
      <c r="B64" s="8" t="s">
        <v>95</v>
      </c>
      <c r="C64" s="8" t="s">
        <v>9</v>
      </c>
      <c r="D64" s="8" t="s">
        <v>495</v>
      </c>
      <c r="E64" s="8" t="s">
        <v>352</v>
      </c>
      <c r="F64" s="8" t="s">
        <v>520</v>
      </c>
      <c r="G64" s="9" t="s">
        <v>454</v>
      </c>
      <c r="H64" s="10" t="s">
        <v>454</v>
      </c>
      <c r="I64" s="10" t="s">
        <v>454</v>
      </c>
      <c r="J64" s="10" t="s">
        <v>454</v>
      </c>
      <c r="K64" s="11">
        <v>1</v>
      </c>
      <c r="L64" s="11"/>
      <c r="M64" s="7" t="s">
        <v>727</v>
      </c>
      <c r="O64" s="4">
        <f t="shared" si="0"/>
        <v>1</v>
      </c>
    </row>
    <row r="65" spans="1:15" x14ac:dyDescent="0.35">
      <c r="A65" s="7">
        <v>63</v>
      </c>
      <c r="B65" s="8" t="s">
        <v>96</v>
      </c>
      <c r="C65" s="8" t="s">
        <v>9</v>
      </c>
      <c r="D65" s="8" t="s">
        <v>495</v>
      </c>
      <c r="E65" s="8" t="s">
        <v>485</v>
      </c>
      <c r="F65" s="8" t="s">
        <v>521</v>
      </c>
      <c r="G65" s="9" t="s">
        <v>454</v>
      </c>
      <c r="H65" s="10" t="s">
        <v>454</v>
      </c>
      <c r="I65" s="10" t="s">
        <v>454</v>
      </c>
      <c r="J65" s="10" t="s">
        <v>454</v>
      </c>
      <c r="K65" s="11">
        <v>1</v>
      </c>
      <c r="L65" s="11"/>
      <c r="M65" s="7" t="s">
        <v>727</v>
      </c>
      <c r="O65" s="4">
        <f t="shared" si="0"/>
        <v>1</v>
      </c>
    </row>
    <row r="66" spans="1:15" ht="29" x14ac:dyDescent="0.35">
      <c r="A66" s="7">
        <v>64</v>
      </c>
      <c r="B66" s="8" t="s">
        <v>97</v>
      </c>
      <c r="C66" s="8" t="s">
        <v>9</v>
      </c>
      <c r="D66" s="8" t="s">
        <v>495</v>
      </c>
      <c r="E66" s="8" t="s">
        <v>485</v>
      </c>
      <c r="F66" s="8" t="s">
        <v>522</v>
      </c>
      <c r="G66" s="9" t="s">
        <v>454</v>
      </c>
      <c r="H66" s="10" t="s">
        <v>454</v>
      </c>
      <c r="I66" s="10" t="s">
        <v>454</v>
      </c>
      <c r="J66" s="10" t="s">
        <v>454</v>
      </c>
      <c r="K66" s="11">
        <v>1</v>
      </c>
      <c r="L66" s="11"/>
      <c r="M66" s="7" t="s">
        <v>727</v>
      </c>
      <c r="O66" s="4">
        <f t="shared" si="0"/>
        <v>1</v>
      </c>
    </row>
    <row r="67" spans="1:15" x14ac:dyDescent="0.35">
      <c r="A67" s="7">
        <v>65</v>
      </c>
      <c r="B67" s="8" t="s">
        <v>98</v>
      </c>
      <c r="C67" s="8" t="s">
        <v>9</v>
      </c>
      <c r="D67" s="8" t="s">
        <v>495</v>
      </c>
      <c r="E67" s="8" t="s">
        <v>441</v>
      </c>
      <c r="F67" s="8" t="s">
        <v>523</v>
      </c>
      <c r="G67" s="9" t="s">
        <v>454</v>
      </c>
      <c r="H67" s="10" t="s">
        <v>454</v>
      </c>
      <c r="I67" s="10" t="s">
        <v>454</v>
      </c>
      <c r="J67" s="10" t="s">
        <v>454</v>
      </c>
      <c r="K67" s="11">
        <v>1</v>
      </c>
      <c r="L67" s="11"/>
      <c r="M67" s="7" t="s">
        <v>727</v>
      </c>
      <c r="O67" s="4">
        <f t="shared" si="0"/>
        <v>1</v>
      </c>
    </row>
    <row r="68" spans="1:15" ht="29" x14ac:dyDescent="0.35">
      <c r="A68" s="7">
        <v>66</v>
      </c>
      <c r="B68" s="8" t="s">
        <v>99</v>
      </c>
      <c r="C68" s="8" t="s">
        <v>9</v>
      </c>
      <c r="D68" s="8" t="s">
        <v>495</v>
      </c>
      <c r="E68" s="8" t="s">
        <v>386</v>
      </c>
      <c r="F68" s="8" t="s">
        <v>524</v>
      </c>
      <c r="G68" s="9" t="s">
        <v>454</v>
      </c>
      <c r="H68" s="10" t="s">
        <v>454</v>
      </c>
      <c r="I68" s="10" t="s">
        <v>454</v>
      </c>
      <c r="J68" s="10" t="s">
        <v>454</v>
      </c>
      <c r="K68" s="11">
        <v>1</v>
      </c>
      <c r="L68" s="11"/>
      <c r="M68" s="7" t="s">
        <v>727</v>
      </c>
      <c r="O68" s="4">
        <f t="shared" si="0"/>
        <v>1</v>
      </c>
    </row>
    <row r="69" spans="1:15" x14ac:dyDescent="0.35">
      <c r="A69" s="7">
        <v>67</v>
      </c>
      <c r="B69" s="8" t="s">
        <v>100</v>
      </c>
      <c r="C69" s="8" t="s">
        <v>9</v>
      </c>
      <c r="D69" s="8" t="s">
        <v>495</v>
      </c>
      <c r="E69" s="8" t="s">
        <v>525</v>
      </c>
      <c r="F69" s="8" t="s">
        <v>526</v>
      </c>
      <c r="G69" s="9" t="s">
        <v>454</v>
      </c>
      <c r="H69" s="10" t="s">
        <v>454</v>
      </c>
      <c r="I69" s="10" t="s">
        <v>454</v>
      </c>
      <c r="J69" s="10" t="s">
        <v>454</v>
      </c>
      <c r="K69" s="11">
        <v>1</v>
      </c>
      <c r="L69" s="11"/>
      <c r="M69" s="7" t="s">
        <v>727</v>
      </c>
      <c r="O69" s="4">
        <f t="shared" ref="O69:O132" si="1">IF(J69="√",1,0)</f>
        <v>1</v>
      </c>
    </row>
    <row r="70" spans="1:15" ht="29" x14ac:dyDescent="0.35">
      <c r="A70" s="7">
        <v>68</v>
      </c>
      <c r="B70" s="8" t="s">
        <v>101</v>
      </c>
      <c r="C70" s="8" t="s">
        <v>9</v>
      </c>
      <c r="D70" s="8" t="s">
        <v>495</v>
      </c>
      <c r="E70" s="8" t="s">
        <v>525</v>
      </c>
      <c r="F70" s="8" t="s">
        <v>527</v>
      </c>
      <c r="G70" s="9" t="s">
        <v>454</v>
      </c>
      <c r="H70" s="10" t="s">
        <v>454</v>
      </c>
      <c r="I70" s="10" t="s">
        <v>454</v>
      </c>
      <c r="J70" s="10" t="s">
        <v>454</v>
      </c>
      <c r="K70" s="11">
        <v>1</v>
      </c>
      <c r="L70" s="11"/>
      <c r="M70" s="7" t="s">
        <v>727</v>
      </c>
      <c r="O70" s="4">
        <f t="shared" si="1"/>
        <v>1</v>
      </c>
    </row>
    <row r="71" spans="1:15" x14ac:dyDescent="0.35">
      <c r="A71" s="7">
        <v>69</v>
      </c>
      <c r="B71" s="8" t="s">
        <v>102</v>
      </c>
      <c r="C71" s="8" t="s">
        <v>9</v>
      </c>
      <c r="D71" s="8" t="s">
        <v>495</v>
      </c>
      <c r="E71" s="8" t="s">
        <v>361</v>
      </c>
      <c r="F71" s="8" t="s">
        <v>528</v>
      </c>
      <c r="G71" s="9" t="s">
        <v>454</v>
      </c>
      <c r="H71" s="10" t="s">
        <v>454</v>
      </c>
      <c r="I71" s="10" t="s">
        <v>454</v>
      </c>
      <c r="J71" s="10" t="s">
        <v>455</v>
      </c>
      <c r="K71" s="11">
        <v>1</v>
      </c>
      <c r="L71" s="11"/>
      <c r="M71" s="7" t="s">
        <v>727</v>
      </c>
      <c r="O71" s="4">
        <f t="shared" si="1"/>
        <v>0</v>
      </c>
    </row>
    <row r="72" spans="1:15" x14ac:dyDescent="0.35">
      <c r="A72" s="7">
        <v>70</v>
      </c>
      <c r="B72" s="8" t="s">
        <v>103</v>
      </c>
      <c r="C72" s="8" t="s">
        <v>9</v>
      </c>
      <c r="D72" s="8" t="s">
        <v>495</v>
      </c>
      <c r="E72" s="8" t="s">
        <v>450</v>
      </c>
      <c r="F72" s="8" t="s">
        <v>519</v>
      </c>
      <c r="G72" s="9" t="s">
        <v>454</v>
      </c>
      <c r="H72" s="10" t="s">
        <v>454</v>
      </c>
      <c r="I72" s="10" t="s">
        <v>454</v>
      </c>
      <c r="J72" s="10" t="s">
        <v>454</v>
      </c>
      <c r="K72" s="11">
        <v>1</v>
      </c>
      <c r="L72" s="11"/>
      <c r="M72" s="7" t="s">
        <v>727</v>
      </c>
      <c r="O72" s="4">
        <f t="shared" si="1"/>
        <v>1</v>
      </c>
    </row>
    <row r="73" spans="1:15" ht="72.5" x14ac:dyDescent="0.35">
      <c r="A73" s="7">
        <v>71</v>
      </c>
      <c r="B73" s="8" t="s">
        <v>104</v>
      </c>
      <c r="C73" s="8" t="s">
        <v>9</v>
      </c>
      <c r="D73" s="8" t="s">
        <v>495</v>
      </c>
      <c r="E73" s="8" t="s">
        <v>354</v>
      </c>
      <c r="F73" s="8" t="s">
        <v>529</v>
      </c>
      <c r="G73" s="9" t="s">
        <v>454</v>
      </c>
      <c r="H73" s="10" t="s">
        <v>454</v>
      </c>
      <c r="I73" s="10" t="s">
        <v>454</v>
      </c>
      <c r="J73" s="10" t="s">
        <v>455</v>
      </c>
      <c r="K73" s="11">
        <v>1</v>
      </c>
      <c r="L73" s="11"/>
      <c r="M73" s="7" t="s">
        <v>727</v>
      </c>
      <c r="O73" s="4">
        <f t="shared" si="1"/>
        <v>0</v>
      </c>
    </row>
    <row r="74" spans="1:15" x14ac:dyDescent="0.35">
      <c r="A74" s="7">
        <v>72</v>
      </c>
      <c r="B74" s="8" t="s">
        <v>105</v>
      </c>
      <c r="C74" s="8" t="s">
        <v>9</v>
      </c>
      <c r="D74" s="8" t="s">
        <v>495</v>
      </c>
      <c r="E74" s="8" t="s">
        <v>369</v>
      </c>
      <c r="F74" s="8" t="s">
        <v>530</v>
      </c>
      <c r="G74" s="9" t="s">
        <v>454</v>
      </c>
      <c r="H74" s="10" t="s">
        <v>454</v>
      </c>
      <c r="I74" s="10" t="s">
        <v>454</v>
      </c>
      <c r="J74" s="10" t="s">
        <v>455</v>
      </c>
      <c r="K74" s="11">
        <v>1</v>
      </c>
      <c r="L74" s="11"/>
      <c r="M74" s="7" t="s">
        <v>727</v>
      </c>
      <c r="O74" s="4">
        <f t="shared" si="1"/>
        <v>0</v>
      </c>
    </row>
    <row r="75" spans="1:15" ht="58" x14ac:dyDescent="0.35">
      <c r="A75" s="7">
        <v>73</v>
      </c>
      <c r="B75" s="8" t="s">
        <v>106</v>
      </c>
      <c r="C75" s="8" t="s">
        <v>9</v>
      </c>
      <c r="D75" s="8" t="s">
        <v>495</v>
      </c>
      <c r="E75" s="8" t="s">
        <v>369</v>
      </c>
      <c r="F75" s="8" t="s">
        <v>531</v>
      </c>
      <c r="G75" s="9" t="s">
        <v>454</v>
      </c>
      <c r="H75" s="10" t="s">
        <v>454</v>
      </c>
      <c r="I75" s="10" t="s">
        <v>454</v>
      </c>
      <c r="J75" s="10" t="s">
        <v>455</v>
      </c>
      <c r="K75" s="11">
        <v>1</v>
      </c>
      <c r="L75" s="11"/>
      <c r="M75" s="7" t="s">
        <v>727</v>
      </c>
      <c r="O75" s="4">
        <f t="shared" si="1"/>
        <v>0</v>
      </c>
    </row>
    <row r="76" spans="1:15" ht="58" x14ac:dyDescent="0.35">
      <c r="A76" s="7">
        <v>74</v>
      </c>
      <c r="B76" s="8" t="s">
        <v>107</v>
      </c>
      <c r="C76" s="8" t="s">
        <v>9</v>
      </c>
      <c r="D76" s="8" t="s">
        <v>495</v>
      </c>
      <c r="E76" s="8" t="s">
        <v>352</v>
      </c>
      <c r="F76" s="8" t="s">
        <v>532</v>
      </c>
      <c r="G76" s="9" t="s">
        <v>454</v>
      </c>
      <c r="H76" s="10" t="s">
        <v>454</v>
      </c>
      <c r="I76" s="10" t="s">
        <v>454</v>
      </c>
      <c r="J76" s="10" t="s">
        <v>455</v>
      </c>
      <c r="K76" s="11">
        <v>1</v>
      </c>
      <c r="L76" s="11"/>
      <c r="M76" s="7" t="s">
        <v>727</v>
      </c>
      <c r="O76" s="4">
        <f t="shared" si="1"/>
        <v>0</v>
      </c>
    </row>
    <row r="77" spans="1:15" ht="29" x14ac:dyDescent="0.35">
      <c r="A77" s="7">
        <v>75</v>
      </c>
      <c r="B77" s="8" t="s">
        <v>108</v>
      </c>
      <c r="C77" s="8" t="s">
        <v>9</v>
      </c>
      <c r="D77" s="8" t="s">
        <v>495</v>
      </c>
      <c r="E77" s="8" t="s">
        <v>533</v>
      </c>
      <c r="F77" s="8" t="s">
        <v>344</v>
      </c>
      <c r="G77" s="9" t="s">
        <v>454</v>
      </c>
      <c r="H77" s="10" t="s">
        <v>454</v>
      </c>
      <c r="I77" s="10" t="s">
        <v>454</v>
      </c>
      <c r="J77" s="10" t="s">
        <v>455</v>
      </c>
      <c r="K77" s="11">
        <v>1</v>
      </c>
      <c r="L77" s="11"/>
      <c r="M77" s="7" t="s">
        <v>727</v>
      </c>
      <c r="O77" s="4">
        <f t="shared" si="1"/>
        <v>0</v>
      </c>
    </row>
    <row r="78" spans="1:15" ht="43.5" x14ac:dyDescent="0.35">
      <c r="A78" s="7">
        <v>76</v>
      </c>
      <c r="B78" s="8" t="s">
        <v>109</v>
      </c>
      <c r="C78" s="8" t="s">
        <v>9</v>
      </c>
      <c r="D78" s="8" t="s">
        <v>495</v>
      </c>
      <c r="E78" s="8" t="s">
        <v>534</v>
      </c>
      <c r="F78" s="8" t="s">
        <v>535</v>
      </c>
      <c r="G78" s="9" t="s">
        <v>454</v>
      </c>
      <c r="H78" s="10" t="s">
        <v>454</v>
      </c>
      <c r="I78" s="10" t="s">
        <v>454</v>
      </c>
      <c r="J78" s="10" t="s">
        <v>455</v>
      </c>
      <c r="K78" s="11">
        <v>1</v>
      </c>
      <c r="L78" s="11"/>
      <c r="M78" s="7" t="s">
        <v>727</v>
      </c>
      <c r="O78" s="4">
        <f t="shared" si="1"/>
        <v>0</v>
      </c>
    </row>
    <row r="79" spans="1:15" x14ac:dyDescent="0.35">
      <c r="A79" s="7">
        <v>77</v>
      </c>
      <c r="B79" s="8" t="s">
        <v>110</v>
      </c>
      <c r="C79" s="8" t="s">
        <v>9</v>
      </c>
      <c r="D79" s="8" t="s">
        <v>495</v>
      </c>
      <c r="E79" s="8" t="s">
        <v>525</v>
      </c>
      <c r="F79" s="8" t="s">
        <v>536</v>
      </c>
      <c r="G79" s="9" t="s">
        <v>454</v>
      </c>
      <c r="H79" s="10" t="s">
        <v>454</v>
      </c>
      <c r="I79" s="10" t="s">
        <v>454</v>
      </c>
      <c r="J79" s="10" t="s">
        <v>455</v>
      </c>
      <c r="K79" s="11">
        <v>1</v>
      </c>
      <c r="L79" s="11"/>
      <c r="M79" s="7" t="s">
        <v>727</v>
      </c>
      <c r="O79" s="4">
        <f t="shared" si="1"/>
        <v>0</v>
      </c>
    </row>
    <row r="80" spans="1:15" ht="29" x14ac:dyDescent="0.35">
      <c r="A80" s="7">
        <v>78</v>
      </c>
      <c r="B80" s="8" t="s">
        <v>111</v>
      </c>
      <c r="C80" s="8" t="s">
        <v>58</v>
      </c>
      <c r="D80" s="8" t="s">
        <v>537</v>
      </c>
      <c r="E80" s="8" t="s">
        <v>354</v>
      </c>
      <c r="F80" s="8" t="s">
        <v>538</v>
      </c>
      <c r="G80" s="9" t="s">
        <v>454</v>
      </c>
      <c r="H80" s="10" t="s">
        <v>454</v>
      </c>
      <c r="I80" s="10" t="s">
        <v>454</v>
      </c>
      <c r="J80" s="10" t="s">
        <v>455</v>
      </c>
      <c r="K80" s="11">
        <v>1</v>
      </c>
      <c r="L80" s="11"/>
      <c r="M80" s="7" t="s">
        <v>727</v>
      </c>
      <c r="O80" s="4">
        <f t="shared" si="1"/>
        <v>0</v>
      </c>
    </row>
    <row r="81" spans="1:15" ht="29" x14ac:dyDescent="0.35">
      <c r="A81" s="7">
        <v>79</v>
      </c>
      <c r="B81" s="8" t="s">
        <v>112</v>
      </c>
      <c r="C81" s="8" t="s">
        <v>58</v>
      </c>
      <c r="D81" s="8" t="s">
        <v>537</v>
      </c>
      <c r="E81" s="8" t="s">
        <v>396</v>
      </c>
      <c r="F81" s="8" t="s">
        <v>539</v>
      </c>
      <c r="G81" s="9" t="s">
        <v>454</v>
      </c>
      <c r="H81" s="10" t="s">
        <v>454</v>
      </c>
      <c r="I81" s="10" t="s">
        <v>454</v>
      </c>
      <c r="J81" s="10" t="s">
        <v>455</v>
      </c>
      <c r="K81" s="11">
        <v>1</v>
      </c>
      <c r="L81" s="11"/>
      <c r="M81" s="7" t="s">
        <v>727</v>
      </c>
      <c r="O81" s="4">
        <f t="shared" si="1"/>
        <v>0</v>
      </c>
    </row>
    <row r="82" spans="1:15" ht="29" x14ac:dyDescent="0.35">
      <c r="A82" s="7">
        <v>80</v>
      </c>
      <c r="B82" s="8" t="s">
        <v>113</v>
      </c>
      <c r="C82" s="8" t="s">
        <v>58</v>
      </c>
      <c r="D82" s="8" t="s">
        <v>537</v>
      </c>
      <c r="E82" s="8" t="s">
        <v>540</v>
      </c>
      <c r="F82" s="8" t="s">
        <v>541</v>
      </c>
      <c r="G82" s="9" t="s">
        <v>454</v>
      </c>
      <c r="H82" s="10" t="s">
        <v>454</v>
      </c>
      <c r="I82" s="10" t="s">
        <v>454</v>
      </c>
      <c r="J82" s="10" t="s">
        <v>455</v>
      </c>
      <c r="K82" s="11">
        <v>1</v>
      </c>
      <c r="L82" s="11"/>
      <c r="M82" s="7" t="s">
        <v>727</v>
      </c>
      <c r="O82" s="4">
        <f t="shared" si="1"/>
        <v>0</v>
      </c>
    </row>
    <row r="83" spans="1:15" ht="29" x14ac:dyDescent="0.35">
      <c r="A83" s="7">
        <v>81</v>
      </c>
      <c r="B83" s="8" t="s">
        <v>114</v>
      </c>
      <c r="C83" s="8" t="s">
        <v>58</v>
      </c>
      <c r="D83" s="8" t="s">
        <v>537</v>
      </c>
      <c r="E83" s="8" t="s">
        <v>386</v>
      </c>
      <c r="F83" s="8" t="s">
        <v>542</v>
      </c>
      <c r="G83" s="9" t="s">
        <v>454</v>
      </c>
      <c r="H83" s="10" t="s">
        <v>454</v>
      </c>
      <c r="I83" s="10" t="s">
        <v>454</v>
      </c>
      <c r="J83" s="10" t="s">
        <v>455</v>
      </c>
      <c r="K83" s="11">
        <v>1</v>
      </c>
      <c r="L83" s="11"/>
      <c r="M83" s="7" t="s">
        <v>727</v>
      </c>
      <c r="O83" s="4">
        <f t="shared" si="1"/>
        <v>0</v>
      </c>
    </row>
    <row r="84" spans="1:15" ht="29" x14ac:dyDescent="0.35">
      <c r="A84" s="7">
        <v>82</v>
      </c>
      <c r="B84" s="8" t="s">
        <v>115</v>
      </c>
      <c r="C84" s="8" t="s">
        <v>58</v>
      </c>
      <c r="D84" s="8" t="s">
        <v>537</v>
      </c>
      <c r="E84" s="8" t="s">
        <v>369</v>
      </c>
      <c r="F84" s="8" t="s">
        <v>489</v>
      </c>
      <c r="G84" s="9" t="s">
        <v>454</v>
      </c>
      <c r="H84" s="10" t="s">
        <v>454</v>
      </c>
      <c r="I84" s="10" t="s">
        <v>454</v>
      </c>
      <c r="J84" s="10" t="s">
        <v>455</v>
      </c>
      <c r="K84" s="11">
        <v>1</v>
      </c>
      <c r="L84" s="11"/>
      <c r="M84" s="7" t="s">
        <v>727</v>
      </c>
      <c r="O84" s="4">
        <f t="shared" si="1"/>
        <v>0</v>
      </c>
    </row>
    <row r="85" spans="1:15" ht="29" x14ac:dyDescent="0.35">
      <c r="A85" s="7">
        <v>83</v>
      </c>
      <c r="B85" s="8" t="s">
        <v>116</v>
      </c>
      <c r="C85" s="8" t="s">
        <v>58</v>
      </c>
      <c r="D85" s="8" t="s">
        <v>537</v>
      </c>
      <c r="E85" s="8" t="s">
        <v>352</v>
      </c>
      <c r="F85" s="8" t="s">
        <v>543</v>
      </c>
      <c r="G85" s="9" t="s">
        <v>454</v>
      </c>
      <c r="H85" s="10" t="s">
        <v>454</v>
      </c>
      <c r="I85" s="10" t="s">
        <v>454</v>
      </c>
      <c r="J85" s="10" t="s">
        <v>455</v>
      </c>
      <c r="K85" s="11">
        <v>1</v>
      </c>
      <c r="L85" s="11"/>
      <c r="M85" s="7" t="s">
        <v>727</v>
      </c>
      <c r="O85" s="4">
        <f t="shared" si="1"/>
        <v>0</v>
      </c>
    </row>
    <row r="86" spans="1:15" ht="29" x14ac:dyDescent="0.35">
      <c r="A86" s="7">
        <v>84</v>
      </c>
      <c r="B86" s="8" t="s">
        <v>117</v>
      </c>
      <c r="C86" s="8" t="s">
        <v>58</v>
      </c>
      <c r="D86" s="8" t="s">
        <v>537</v>
      </c>
      <c r="E86" s="8" t="s">
        <v>426</v>
      </c>
      <c r="F86" s="8" t="s">
        <v>544</v>
      </c>
      <c r="G86" s="9" t="s">
        <v>454</v>
      </c>
      <c r="H86" s="10" t="s">
        <v>454</v>
      </c>
      <c r="I86" s="10" t="s">
        <v>454</v>
      </c>
      <c r="J86" s="10" t="s">
        <v>454</v>
      </c>
      <c r="K86" s="11">
        <v>1</v>
      </c>
      <c r="L86" s="11"/>
      <c r="M86" s="7" t="s">
        <v>727</v>
      </c>
      <c r="O86" s="4">
        <f t="shared" si="1"/>
        <v>1</v>
      </c>
    </row>
    <row r="87" spans="1:15" ht="43.5" x14ac:dyDescent="0.35">
      <c r="A87" s="7">
        <v>85</v>
      </c>
      <c r="B87" s="8" t="s">
        <v>118</v>
      </c>
      <c r="C87" s="8" t="s">
        <v>58</v>
      </c>
      <c r="D87" s="8" t="s">
        <v>537</v>
      </c>
      <c r="E87" s="8" t="s">
        <v>464</v>
      </c>
      <c r="F87" s="8" t="s">
        <v>545</v>
      </c>
      <c r="G87" s="9" t="s">
        <v>454</v>
      </c>
      <c r="H87" s="10" t="s">
        <v>454</v>
      </c>
      <c r="I87" s="10" t="s">
        <v>454</v>
      </c>
      <c r="J87" s="10" t="s">
        <v>455</v>
      </c>
      <c r="K87" s="11">
        <v>1</v>
      </c>
      <c r="L87" s="11"/>
      <c r="M87" s="7" t="s">
        <v>727</v>
      </c>
      <c r="O87" s="4">
        <f t="shared" si="1"/>
        <v>0</v>
      </c>
    </row>
    <row r="88" spans="1:15" ht="43.5" x14ac:dyDescent="0.35">
      <c r="A88" s="7">
        <v>86</v>
      </c>
      <c r="B88" s="8" t="s">
        <v>119</v>
      </c>
      <c r="C88" s="8" t="s">
        <v>58</v>
      </c>
      <c r="D88" s="8" t="s">
        <v>537</v>
      </c>
      <c r="E88" s="8" t="s">
        <v>546</v>
      </c>
      <c r="F88" s="8" t="s">
        <v>547</v>
      </c>
      <c r="G88" s="9" t="s">
        <v>454</v>
      </c>
      <c r="H88" s="10" t="s">
        <v>454</v>
      </c>
      <c r="I88" s="10" t="s">
        <v>454</v>
      </c>
      <c r="J88" s="10" t="s">
        <v>454</v>
      </c>
      <c r="K88" s="11">
        <v>1</v>
      </c>
      <c r="L88" s="11"/>
      <c r="M88" s="7" t="s">
        <v>727</v>
      </c>
      <c r="O88" s="4">
        <f t="shared" si="1"/>
        <v>1</v>
      </c>
    </row>
    <row r="89" spans="1:15" ht="29" x14ac:dyDescent="0.35">
      <c r="A89" s="7">
        <v>87</v>
      </c>
      <c r="B89" s="8" t="s">
        <v>120</v>
      </c>
      <c r="C89" s="8" t="s">
        <v>58</v>
      </c>
      <c r="D89" s="8" t="s">
        <v>537</v>
      </c>
      <c r="E89" s="8" t="s">
        <v>548</v>
      </c>
      <c r="F89" s="8" t="s">
        <v>549</v>
      </c>
      <c r="G89" s="9" t="s">
        <v>454</v>
      </c>
      <c r="H89" s="10" t="s">
        <v>454</v>
      </c>
      <c r="I89" s="10" t="s">
        <v>454</v>
      </c>
      <c r="J89" s="10" t="s">
        <v>455</v>
      </c>
      <c r="K89" s="11">
        <v>1</v>
      </c>
      <c r="L89" s="11"/>
      <c r="M89" s="7" t="s">
        <v>727</v>
      </c>
      <c r="O89" s="4">
        <f t="shared" si="1"/>
        <v>0</v>
      </c>
    </row>
    <row r="90" spans="1:15" ht="29" x14ac:dyDescent="0.35">
      <c r="A90" s="7">
        <v>88</v>
      </c>
      <c r="B90" s="8" t="s">
        <v>121</v>
      </c>
      <c r="C90" s="8" t="s">
        <v>58</v>
      </c>
      <c r="D90" s="8" t="s">
        <v>537</v>
      </c>
      <c r="E90" s="8" t="s">
        <v>369</v>
      </c>
      <c r="F90" s="8" t="s">
        <v>489</v>
      </c>
      <c r="G90" s="9" t="s">
        <v>454</v>
      </c>
      <c r="H90" s="10" t="s">
        <v>454</v>
      </c>
      <c r="I90" s="10" t="s">
        <v>454</v>
      </c>
      <c r="J90" s="10" t="s">
        <v>455</v>
      </c>
      <c r="K90" s="11">
        <v>1</v>
      </c>
      <c r="L90" s="11"/>
      <c r="M90" s="7" t="s">
        <v>727</v>
      </c>
      <c r="O90" s="4">
        <f t="shared" si="1"/>
        <v>0</v>
      </c>
    </row>
    <row r="91" spans="1:15" ht="29" x14ac:dyDescent="0.35">
      <c r="A91" s="7">
        <v>89</v>
      </c>
      <c r="B91" s="8" t="s">
        <v>122</v>
      </c>
      <c r="C91" s="8" t="s">
        <v>123</v>
      </c>
      <c r="D91" s="8" t="s">
        <v>537</v>
      </c>
      <c r="E91" s="8" t="s">
        <v>354</v>
      </c>
      <c r="F91" s="8" t="s">
        <v>550</v>
      </c>
      <c r="G91" s="9" t="s">
        <v>454</v>
      </c>
      <c r="H91" s="10" t="s">
        <v>454</v>
      </c>
      <c r="I91" s="10" t="s">
        <v>454</v>
      </c>
      <c r="J91" s="10" t="s">
        <v>454</v>
      </c>
      <c r="K91" s="11">
        <v>1</v>
      </c>
      <c r="L91" s="11"/>
      <c r="M91" s="7" t="s">
        <v>727</v>
      </c>
      <c r="O91" s="4">
        <f t="shared" si="1"/>
        <v>1</v>
      </c>
    </row>
    <row r="92" spans="1:15" ht="29" x14ac:dyDescent="0.35">
      <c r="A92" s="7">
        <v>90</v>
      </c>
      <c r="B92" s="8" t="s">
        <v>124</v>
      </c>
      <c r="C92" s="8" t="s">
        <v>58</v>
      </c>
      <c r="D92" s="8" t="s">
        <v>537</v>
      </c>
      <c r="E92" s="8" t="s">
        <v>534</v>
      </c>
      <c r="F92" s="8" t="s">
        <v>551</v>
      </c>
      <c r="G92" s="9" t="s">
        <v>454</v>
      </c>
      <c r="H92" s="10" t="s">
        <v>454</v>
      </c>
      <c r="I92" s="10" t="s">
        <v>454</v>
      </c>
      <c r="J92" s="10" t="s">
        <v>455</v>
      </c>
      <c r="K92" s="11">
        <v>1</v>
      </c>
      <c r="L92" s="11"/>
      <c r="M92" s="7" t="s">
        <v>727</v>
      </c>
      <c r="O92" s="4">
        <f t="shared" si="1"/>
        <v>0</v>
      </c>
    </row>
    <row r="93" spans="1:15" ht="29" x14ac:dyDescent="0.35">
      <c r="A93" s="7">
        <v>91</v>
      </c>
      <c r="B93" s="8" t="s">
        <v>125</v>
      </c>
      <c r="C93" s="8" t="s">
        <v>58</v>
      </c>
      <c r="D93" s="8" t="s">
        <v>537</v>
      </c>
      <c r="E93" s="8" t="s">
        <v>386</v>
      </c>
      <c r="F93" s="8" t="s">
        <v>552</v>
      </c>
      <c r="G93" s="9" t="s">
        <v>454</v>
      </c>
      <c r="H93" s="10" t="s">
        <v>454</v>
      </c>
      <c r="I93" s="10" t="s">
        <v>454</v>
      </c>
      <c r="J93" s="10" t="s">
        <v>455</v>
      </c>
      <c r="K93" s="11">
        <v>1</v>
      </c>
      <c r="L93" s="11"/>
      <c r="M93" s="7" t="s">
        <v>727</v>
      </c>
      <c r="O93" s="4">
        <f t="shared" si="1"/>
        <v>0</v>
      </c>
    </row>
    <row r="94" spans="1:15" ht="29" x14ac:dyDescent="0.35">
      <c r="A94" s="7">
        <v>92</v>
      </c>
      <c r="B94" s="8" t="s">
        <v>126</v>
      </c>
      <c r="C94" s="8" t="s">
        <v>58</v>
      </c>
      <c r="D94" s="8" t="s">
        <v>537</v>
      </c>
      <c r="E94" s="8" t="s">
        <v>364</v>
      </c>
      <c r="F94" s="8" t="s">
        <v>553</v>
      </c>
      <c r="G94" s="9" t="s">
        <v>454</v>
      </c>
      <c r="H94" s="10" t="s">
        <v>454</v>
      </c>
      <c r="I94" s="10" t="s">
        <v>454</v>
      </c>
      <c r="J94" s="10" t="s">
        <v>455</v>
      </c>
      <c r="K94" s="11">
        <v>1</v>
      </c>
      <c r="L94" s="11"/>
      <c r="M94" s="7" t="s">
        <v>727</v>
      </c>
      <c r="O94" s="4">
        <f t="shared" si="1"/>
        <v>0</v>
      </c>
    </row>
    <row r="95" spans="1:15" ht="29" x14ac:dyDescent="0.35">
      <c r="A95" s="7">
        <v>93</v>
      </c>
      <c r="B95" s="8" t="s">
        <v>127</v>
      </c>
      <c r="C95" s="8" t="s">
        <v>58</v>
      </c>
      <c r="D95" s="8" t="s">
        <v>537</v>
      </c>
      <c r="E95" s="8" t="s">
        <v>554</v>
      </c>
      <c r="F95" s="8" t="s">
        <v>344</v>
      </c>
      <c r="G95" s="9" t="s">
        <v>454</v>
      </c>
      <c r="H95" s="10" t="s">
        <v>454</v>
      </c>
      <c r="I95" s="10" t="s">
        <v>454</v>
      </c>
      <c r="J95" s="10" t="s">
        <v>455</v>
      </c>
      <c r="K95" s="11">
        <v>1</v>
      </c>
      <c r="L95" s="11"/>
      <c r="M95" s="7" t="s">
        <v>727</v>
      </c>
      <c r="O95" s="4">
        <f t="shared" si="1"/>
        <v>0</v>
      </c>
    </row>
    <row r="96" spans="1:15" ht="29" x14ac:dyDescent="0.35">
      <c r="A96" s="7">
        <v>94</v>
      </c>
      <c r="B96" s="8" t="s">
        <v>128</v>
      </c>
      <c r="C96" s="8" t="s">
        <v>58</v>
      </c>
      <c r="D96" s="8" t="s">
        <v>537</v>
      </c>
      <c r="E96" s="8" t="s">
        <v>384</v>
      </c>
      <c r="F96" s="8" t="s">
        <v>555</v>
      </c>
      <c r="G96" s="9" t="s">
        <v>454</v>
      </c>
      <c r="H96" s="10" t="s">
        <v>454</v>
      </c>
      <c r="I96" s="10" t="s">
        <v>454</v>
      </c>
      <c r="J96" s="10" t="s">
        <v>455</v>
      </c>
      <c r="K96" s="11">
        <v>1</v>
      </c>
      <c r="L96" s="11"/>
      <c r="M96" s="7" t="s">
        <v>727</v>
      </c>
      <c r="O96" s="4">
        <f t="shared" si="1"/>
        <v>0</v>
      </c>
    </row>
    <row r="97" spans="1:15" ht="29" x14ac:dyDescent="0.35">
      <c r="A97" s="7">
        <v>95</v>
      </c>
      <c r="B97" s="8" t="s">
        <v>129</v>
      </c>
      <c r="C97" s="8" t="s">
        <v>58</v>
      </c>
      <c r="D97" s="8" t="s">
        <v>537</v>
      </c>
      <c r="E97" s="8" t="s">
        <v>556</v>
      </c>
      <c r="F97" s="8" t="s">
        <v>557</v>
      </c>
      <c r="G97" s="9" t="s">
        <v>454</v>
      </c>
      <c r="H97" s="10" t="s">
        <v>454</v>
      </c>
      <c r="I97" s="10" t="s">
        <v>454</v>
      </c>
      <c r="J97" s="10" t="s">
        <v>455</v>
      </c>
      <c r="K97" s="11">
        <v>1</v>
      </c>
      <c r="L97" s="11"/>
      <c r="M97" s="7" t="s">
        <v>727</v>
      </c>
      <c r="O97" s="4">
        <f t="shared" si="1"/>
        <v>0</v>
      </c>
    </row>
    <row r="98" spans="1:15" ht="29" x14ac:dyDescent="0.35">
      <c r="A98" s="7">
        <v>96</v>
      </c>
      <c r="B98" s="8" t="s">
        <v>130</v>
      </c>
      <c r="C98" s="8" t="s">
        <v>58</v>
      </c>
      <c r="D98" s="8" t="s">
        <v>537</v>
      </c>
      <c r="E98" s="8" t="s">
        <v>384</v>
      </c>
      <c r="F98" s="8" t="s">
        <v>558</v>
      </c>
      <c r="G98" s="9" t="s">
        <v>454</v>
      </c>
      <c r="H98" s="10" t="s">
        <v>454</v>
      </c>
      <c r="I98" s="10" t="s">
        <v>454</v>
      </c>
      <c r="J98" s="10" t="s">
        <v>455</v>
      </c>
      <c r="K98" s="11">
        <v>1</v>
      </c>
      <c r="L98" s="11"/>
      <c r="M98" s="7" t="s">
        <v>727</v>
      </c>
      <c r="O98" s="4">
        <f t="shared" si="1"/>
        <v>0</v>
      </c>
    </row>
    <row r="99" spans="1:15" ht="29" x14ac:dyDescent="0.35">
      <c r="A99" s="7">
        <v>97</v>
      </c>
      <c r="B99" s="8" t="s">
        <v>131</v>
      </c>
      <c r="C99" s="8" t="s">
        <v>58</v>
      </c>
      <c r="D99" s="8" t="s">
        <v>537</v>
      </c>
      <c r="E99" s="8" t="s">
        <v>384</v>
      </c>
      <c r="F99" s="8" t="s">
        <v>555</v>
      </c>
      <c r="G99" s="9" t="s">
        <v>454</v>
      </c>
      <c r="H99" s="10" t="s">
        <v>454</v>
      </c>
      <c r="I99" s="10" t="s">
        <v>454</v>
      </c>
      <c r="J99" s="10" t="s">
        <v>455</v>
      </c>
      <c r="K99" s="11">
        <v>1</v>
      </c>
      <c r="L99" s="11"/>
      <c r="M99" s="7" t="s">
        <v>727</v>
      </c>
      <c r="O99" s="4">
        <f t="shared" si="1"/>
        <v>0</v>
      </c>
    </row>
    <row r="100" spans="1:15" ht="29" x14ac:dyDescent="0.35">
      <c r="A100" s="7">
        <v>98</v>
      </c>
      <c r="B100" s="8" t="s">
        <v>132</v>
      </c>
      <c r="C100" s="8" t="s">
        <v>58</v>
      </c>
      <c r="D100" s="8" t="s">
        <v>537</v>
      </c>
      <c r="E100" s="8" t="s">
        <v>496</v>
      </c>
      <c r="F100" s="8" t="s">
        <v>559</v>
      </c>
      <c r="G100" s="9" t="s">
        <v>454</v>
      </c>
      <c r="H100" s="10" t="s">
        <v>454</v>
      </c>
      <c r="I100" s="10" t="s">
        <v>454</v>
      </c>
      <c r="J100" s="10" t="s">
        <v>454</v>
      </c>
      <c r="K100" s="11">
        <v>1</v>
      </c>
      <c r="L100" s="11"/>
      <c r="M100" s="7" t="s">
        <v>727</v>
      </c>
      <c r="O100" s="4">
        <f t="shared" si="1"/>
        <v>1</v>
      </c>
    </row>
    <row r="101" spans="1:15" ht="29" x14ac:dyDescent="0.35">
      <c r="A101" s="7">
        <v>99</v>
      </c>
      <c r="B101" s="8" t="s">
        <v>133</v>
      </c>
      <c r="C101" s="8" t="s">
        <v>58</v>
      </c>
      <c r="D101" s="8" t="s">
        <v>537</v>
      </c>
      <c r="E101" s="8" t="s">
        <v>396</v>
      </c>
      <c r="F101" s="8" t="s">
        <v>344</v>
      </c>
      <c r="G101" s="9" t="s">
        <v>454</v>
      </c>
      <c r="H101" s="10" t="s">
        <v>454</v>
      </c>
      <c r="I101" s="10" t="s">
        <v>454</v>
      </c>
      <c r="J101" s="10" t="s">
        <v>455</v>
      </c>
      <c r="K101" s="11">
        <v>1</v>
      </c>
      <c r="L101" s="11"/>
      <c r="M101" s="7" t="s">
        <v>727</v>
      </c>
      <c r="O101" s="4">
        <f t="shared" si="1"/>
        <v>0</v>
      </c>
    </row>
    <row r="102" spans="1:15" ht="29" x14ac:dyDescent="0.35">
      <c r="A102" s="7">
        <v>100</v>
      </c>
      <c r="B102" s="8" t="s">
        <v>134</v>
      </c>
      <c r="C102" s="8" t="s">
        <v>58</v>
      </c>
      <c r="D102" s="8" t="s">
        <v>537</v>
      </c>
      <c r="E102" s="8" t="s">
        <v>408</v>
      </c>
      <c r="F102" s="8" t="s">
        <v>560</v>
      </c>
      <c r="G102" s="9" t="s">
        <v>454</v>
      </c>
      <c r="H102" s="10" t="s">
        <v>454</v>
      </c>
      <c r="I102" s="10" t="s">
        <v>454</v>
      </c>
      <c r="J102" s="10" t="s">
        <v>454</v>
      </c>
      <c r="K102" s="11">
        <v>1</v>
      </c>
      <c r="L102" s="11"/>
      <c r="M102" s="7" t="s">
        <v>727</v>
      </c>
      <c r="O102" s="4">
        <f t="shared" si="1"/>
        <v>1</v>
      </c>
    </row>
    <row r="103" spans="1:15" ht="43.5" x14ac:dyDescent="0.35">
      <c r="A103" s="7">
        <v>101</v>
      </c>
      <c r="B103" s="8" t="s">
        <v>135</v>
      </c>
      <c r="C103" s="8" t="s">
        <v>58</v>
      </c>
      <c r="D103" s="8" t="s">
        <v>537</v>
      </c>
      <c r="E103" s="8" t="s">
        <v>396</v>
      </c>
      <c r="F103" s="8" t="s">
        <v>344</v>
      </c>
      <c r="G103" s="9" t="s">
        <v>454</v>
      </c>
      <c r="H103" s="10" t="s">
        <v>454</v>
      </c>
      <c r="I103" s="10" t="s">
        <v>454</v>
      </c>
      <c r="J103" s="10" t="s">
        <v>455</v>
      </c>
      <c r="K103" s="11">
        <v>1</v>
      </c>
      <c r="L103" s="11"/>
      <c r="M103" s="7" t="s">
        <v>727</v>
      </c>
      <c r="O103" s="4">
        <f t="shared" si="1"/>
        <v>0</v>
      </c>
    </row>
    <row r="104" spans="1:15" ht="29" x14ac:dyDescent="0.35">
      <c r="A104" s="7">
        <v>102</v>
      </c>
      <c r="B104" s="8" t="s">
        <v>136</v>
      </c>
      <c r="C104" s="8" t="s">
        <v>58</v>
      </c>
      <c r="D104" s="8" t="s">
        <v>537</v>
      </c>
      <c r="E104" s="8" t="s">
        <v>408</v>
      </c>
      <c r="F104" s="8" t="s">
        <v>560</v>
      </c>
      <c r="G104" s="9" t="s">
        <v>454</v>
      </c>
      <c r="H104" s="10" t="s">
        <v>454</v>
      </c>
      <c r="I104" s="10" t="s">
        <v>454</v>
      </c>
      <c r="J104" s="10" t="s">
        <v>455</v>
      </c>
      <c r="K104" s="11">
        <v>1</v>
      </c>
      <c r="L104" s="11"/>
      <c r="M104" s="7" t="s">
        <v>727</v>
      </c>
      <c r="O104" s="4">
        <f t="shared" si="1"/>
        <v>0</v>
      </c>
    </row>
    <row r="105" spans="1:15" ht="29" x14ac:dyDescent="0.35">
      <c r="A105" s="7">
        <v>103</v>
      </c>
      <c r="B105" s="8" t="s">
        <v>137</v>
      </c>
      <c r="C105" s="8" t="s">
        <v>58</v>
      </c>
      <c r="D105" s="8" t="s">
        <v>537</v>
      </c>
      <c r="E105" s="8" t="s">
        <v>398</v>
      </c>
      <c r="F105" s="8" t="s">
        <v>561</v>
      </c>
      <c r="G105" s="9" t="s">
        <v>454</v>
      </c>
      <c r="H105" s="10" t="s">
        <v>454</v>
      </c>
      <c r="I105" s="10" t="s">
        <v>454</v>
      </c>
      <c r="J105" s="10" t="s">
        <v>455</v>
      </c>
      <c r="K105" s="11">
        <v>1</v>
      </c>
      <c r="L105" s="11"/>
      <c r="M105" s="7" t="s">
        <v>727</v>
      </c>
      <c r="O105" s="4">
        <f t="shared" si="1"/>
        <v>0</v>
      </c>
    </row>
    <row r="106" spans="1:15" ht="29" x14ac:dyDescent="0.35">
      <c r="A106" s="7">
        <v>104</v>
      </c>
      <c r="B106" s="8" t="s">
        <v>138</v>
      </c>
      <c r="C106" s="8" t="s">
        <v>58</v>
      </c>
      <c r="D106" s="8" t="s">
        <v>537</v>
      </c>
      <c r="E106" s="8" t="s">
        <v>386</v>
      </c>
      <c r="F106" s="8" t="s">
        <v>562</v>
      </c>
      <c r="G106" s="9" t="s">
        <v>454</v>
      </c>
      <c r="H106" s="10" t="s">
        <v>454</v>
      </c>
      <c r="I106" s="10" t="s">
        <v>454</v>
      </c>
      <c r="J106" s="10" t="s">
        <v>455</v>
      </c>
      <c r="K106" s="11">
        <v>1</v>
      </c>
      <c r="L106" s="11"/>
      <c r="M106" s="7" t="s">
        <v>727</v>
      </c>
      <c r="O106" s="4">
        <f t="shared" si="1"/>
        <v>0</v>
      </c>
    </row>
    <row r="107" spans="1:15" ht="43.5" x14ac:dyDescent="0.35">
      <c r="A107" s="7">
        <v>105</v>
      </c>
      <c r="B107" s="8" t="s">
        <v>139</v>
      </c>
      <c r="C107" s="8" t="s">
        <v>9</v>
      </c>
      <c r="D107" s="8" t="s">
        <v>563</v>
      </c>
      <c r="E107" s="8" t="s">
        <v>364</v>
      </c>
      <c r="F107" s="8" t="s">
        <v>564</v>
      </c>
      <c r="G107" s="9" t="s">
        <v>454</v>
      </c>
      <c r="H107" s="10" t="s">
        <v>454</v>
      </c>
      <c r="I107" s="10" t="s">
        <v>454</v>
      </c>
      <c r="J107" s="10" t="s">
        <v>454</v>
      </c>
      <c r="K107" s="11">
        <v>1</v>
      </c>
      <c r="L107" s="11"/>
      <c r="M107" s="7" t="s">
        <v>727</v>
      </c>
      <c r="O107" s="4">
        <f t="shared" si="1"/>
        <v>1</v>
      </c>
    </row>
    <row r="108" spans="1:15" ht="58" x14ac:dyDescent="0.35">
      <c r="A108" s="7">
        <v>106</v>
      </c>
      <c r="B108" s="8" t="s">
        <v>140</v>
      </c>
      <c r="C108" s="8" t="s">
        <v>9</v>
      </c>
      <c r="D108" s="8" t="s">
        <v>563</v>
      </c>
      <c r="E108" s="8" t="s">
        <v>396</v>
      </c>
      <c r="F108" s="8" t="s">
        <v>565</v>
      </c>
      <c r="G108" s="9" t="s">
        <v>454</v>
      </c>
      <c r="H108" s="10" t="s">
        <v>454</v>
      </c>
      <c r="I108" s="10" t="s">
        <v>454</v>
      </c>
      <c r="J108" s="10" t="s">
        <v>454</v>
      </c>
      <c r="K108" s="11">
        <v>1</v>
      </c>
      <c r="L108" s="11"/>
      <c r="M108" s="7" t="s">
        <v>727</v>
      </c>
      <c r="O108" s="4">
        <f t="shared" si="1"/>
        <v>1</v>
      </c>
    </row>
    <row r="109" spans="1:15" ht="43.5" x14ac:dyDescent="0.35">
      <c r="A109" s="7">
        <v>107</v>
      </c>
      <c r="B109" s="8" t="s">
        <v>141</v>
      </c>
      <c r="C109" s="8" t="s">
        <v>9</v>
      </c>
      <c r="D109" s="8" t="s">
        <v>563</v>
      </c>
      <c r="E109" s="8" t="s">
        <v>374</v>
      </c>
      <c r="F109" s="8" t="s">
        <v>566</v>
      </c>
      <c r="G109" s="9" t="s">
        <v>454</v>
      </c>
      <c r="H109" s="10" t="s">
        <v>454</v>
      </c>
      <c r="I109" s="10" t="s">
        <v>454</v>
      </c>
      <c r="J109" s="10" t="s">
        <v>454</v>
      </c>
      <c r="K109" s="11">
        <v>1</v>
      </c>
      <c r="L109" s="11"/>
      <c r="M109" s="7" t="s">
        <v>727</v>
      </c>
      <c r="O109" s="4">
        <f t="shared" si="1"/>
        <v>1</v>
      </c>
    </row>
    <row r="110" spans="1:15" ht="43.5" x14ac:dyDescent="0.35">
      <c r="A110" s="7">
        <v>108</v>
      </c>
      <c r="B110" s="8" t="s">
        <v>142</v>
      </c>
      <c r="C110" s="8" t="s">
        <v>9</v>
      </c>
      <c r="D110" s="8" t="s">
        <v>563</v>
      </c>
      <c r="E110" s="8" t="s">
        <v>354</v>
      </c>
      <c r="F110" s="8" t="s">
        <v>567</v>
      </c>
      <c r="G110" s="9" t="s">
        <v>454</v>
      </c>
      <c r="H110" s="10" t="s">
        <v>454</v>
      </c>
      <c r="I110" s="10" t="s">
        <v>454</v>
      </c>
      <c r="J110" s="10" t="s">
        <v>454</v>
      </c>
      <c r="K110" s="11">
        <v>1</v>
      </c>
      <c r="L110" s="11"/>
      <c r="M110" s="7" t="s">
        <v>727</v>
      </c>
      <c r="O110" s="4">
        <f t="shared" si="1"/>
        <v>1</v>
      </c>
    </row>
    <row r="111" spans="1:15" ht="43.5" x14ac:dyDescent="0.35">
      <c r="A111" s="7">
        <v>109</v>
      </c>
      <c r="B111" s="8" t="s">
        <v>143</v>
      </c>
      <c r="C111" s="8" t="s">
        <v>9</v>
      </c>
      <c r="D111" s="8" t="s">
        <v>563</v>
      </c>
      <c r="E111" s="8" t="s">
        <v>354</v>
      </c>
      <c r="F111" s="8" t="s">
        <v>568</v>
      </c>
      <c r="G111" s="9" t="s">
        <v>454</v>
      </c>
      <c r="H111" s="10" t="s">
        <v>454</v>
      </c>
      <c r="I111" s="10" t="s">
        <v>454</v>
      </c>
      <c r="J111" s="10" t="s">
        <v>454</v>
      </c>
      <c r="K111" s="11">
        <v>1</v>
      </c>
      <c r="L111" s="11"/>
      <c r="M111" s="7" t="s">
        <v>727</v>
      </c>
      <c r="O111" s="4">
        <f t="shared" si="1"/>
        <v>1</v>
      </c>
    </row>
    <row r="112" spans="1:15" ht="43.5" x14ac:dyDescent="0.35">
      <c r="A112" s="7">
        <v>110</v>
      </c>
      <c r="B112" s="8" t="s">
        <v>144</v>
      </c>
      <c r="C112" s="8" t="s">
        <v>9</v>
      </c>
      <c r="D112" s="8" t="s">
        <v>563</v>
      </c>
      <c r="E112" s="8" t="s">
        <v>354</v>
      </c>
      <c r="F112" s="8" t="s">
        <v>569</v>
      </c>
      <c r="G112" s="9" t="s">
        <v>454</v>
      </c>
      <c r="H112" s="10" t="s">
        <v>454</v>
      </c>
      <c r="I112" s="10" t="s">
        <v>454</v>
      </c>
      <c r="J112" s="10" t="s">
        <v>454</v>
      </c>
      <c r="K112" s="11">
        <v>1</v>
      </c>
      <c r="L112" s="11"/>
      <c r="M112" s="7" t="s">
        <v>727</v>
      </c>
      <c r="O112" s="4">
        <f t="shared" si="1"/>
        <v>1</v>
      </c>
    </row>
    <row r="113" spans="1:15" ht="43.5" x14ac:dyDescent="0.35">
      <c r="A113" s="7">
        <v>111</v>
      </c>
      <c r="B113" s="8" t="s">
        <v>145</v>
      </c>
      <c r="C113" s="8" t="s">
        <v>9</v>
      </c>
      <c r="D113" s="8" t="s">
        <v>563</v>
      </c>
      <c r="E113" s="8" t="s">
        <v>354</v>
      </c>
      <c r="F113" s="8" t="s">
        <v>570</v>
      </c>
      <c r="G113" s="9" t="s">
        <v>454</v>
      </c>
      <c r="H113" s="10" t="s">
        <v>454</v>
      </c>
      <c r="I113" s="10" t="s">
        <v>454</v>
      </c>
      <c r="J113" s="10" t="s">
        <v>455</v>
      </c>
      <c r="K113" s="11">
        <v>1</v>
      </c>
      <c r="L113" s="11"/>
      <c r="M113" s="7" t="s">
        <v>727</v>
      </c>
      <c r="O113" s="4">
        <f t="shared" si="1"/>
        <v>0</v>
      </c>
    </row>
    <row r="114" spans="1:15" ht="43.5" x14ac:dyDescent="0.35">
      <c r="A114" s="7">
        <v>112</v>
      </c>
      <c r="B114" s="8" t="s">
        <v>146</v>
      </c>
      <c r="C114" s="8" t="s">
        <v>9</v>
      </c>
      <c r="D114" s="8" t="s">
        <v>563</v>
      </c>
      <c r="E114" s="8" t="s">
        <v>571</v>
      </c>
      <c r="F114" s="8" t="s">
        <v>572</v>
      </c>
      <c r="G114" s="9" t="s">
        <v>454</v>
      </c>
      <c r="H114" s="10" t="s">
        <v>454</v>
      </c>
      <c r="I114" s="10" t="s">
        <v>454</v>
      </c>
      <c r="J114" s="10" t="s">
        <v>455</v>
      </c>
      <c r="K114" s="11">
        <v>1</v>
      </c>
      <c r="L114" s="11"/>
      <c r="M114" s="7" t="s">
        <v>727</v>
      </c>
      <c r="O114" s="4">
        <f t="shared" si="1"/>
        <v>0</v>
      </c>
    </row>
    <row r="115" spans="1:15" ht="58" x14ac:dyDescent="0.35">
      <c r="A115" s="7">
        <v>113</v>
      </c>
      <c r="B115" s="8" t="s">
        <v>147</v>
      </c>
      <c r="C115" s="8" t="s">
        <v>9</v>
      </c>
      <c r="D115" s="8" t="s">
        <v>563</v>
      </c>
      <c r="E115" s="8" t="s">
        <v>573</v>
      </c>
      <c r="F115" s="8" t="s">
        <v>574</v>
      </c>
      <c r="G115" s="9" t="s">
        <v>454</v>
      </c>
      <c r="H115" s="10" t="s">
        <v>454</v>
      </c>
      <c r="I115" s="10" t="s">
        <v>454</v>
      </c>
      <c r="J115" s="10" t="s">
        <v>454</v>
      </c>
      <c r="K115" s="11">
        <v>1</v>
      </c>
      <c r="L115" s="11"/>
      <c r="M115" s="7" t="s">
        <v>727</v>
      </c>
      <c r="O115" s="4">
        <f t="shared" si="1"/>
        <v>1</v>
      </c>
    </row>
    <row r="116" spans="1:15" ht="43.5" x14ac:dyDescent="0.35">
      <c r="A116" s="7">
        <v>114</v>
      </c>
      <c r="B116" s="8" t="s">
        <v>148</v>
      </c>
      <c r="C116" s="8" t="s">
        <v>9</v>
      </c>
      <c r="D116" s="8" t="s">
        <v>563</v>
      </c>
      <c r="E116" s="8" t="s">
        <v>369</v>
      </c>
      <c r="F116" s="8" t="s">
        <v>575</v>
      </c>
      <c r="G116" s="9" t="s">
        <v>454</v>
      </c>
      <c r="H116" s="10" t="s">
        <v>454</v>
      </c>
      <c r="I116" s="10" t="s">
        <v>454</v>
      </c>
      <c r="J116" s="10" t="s">
        <v>454</v>
      </c>
      <c r="K116" s="11">
        <v>1</v>
      </c>
      <c r="L116" s="11"/>
      <c r="M116" s="7" t="s">
        <v>727</v>
      </c>
      <c r="O116" s="4">
        <f t="shared" si="1"/>
        <v>1</v>
      </c>
    </row>
    <row r="117" spans="1:15" ht="130.5" x14ac:dyDescent="0.35">
      <c r="A117" s="7">
        <v>115</v>
      </c>
      <c r="B117" s="8" t="s">
        <v>149</v>
      </c>
      <c r="C117" s="8" t="s">
        <v>9</v>
      </c>
      <c r="D117" s="8" t="s">
        <v>563</v>
      </c>
      <c r="E117" s="8" t="s">
        <v>576</v>
      </c>
      <c r="F117" s="8" t="s">
        <v>577</v>
      </c>
      <c r="G117" s="9" t="s">
        <v>454</v>
      </c>
      <c r="H117" s="10" t="s">
        <v>454</v>
      </c>
      <c r="I117" s="10" t="s">
        <v>454</v>
      </c>
      <c r="J117" s="10" t="s">
        <v>454</v>
      </c>
      <c r="K117" s="11">
        <v>1</v>
      </c>
      <c r="L117" s="11"/>
      <c r="M117" s="7" t="s">
        <v>727</v>
      </c>
      <c r="O117" s="4">
        <f t="shared" si="1"/>
        <v>1</v>
      </c>
    </row>
    <row r="118" spans="1:15" ht="43.5" x14ac:dyDescent="0.35">
      <c r="A118" s="7">
        <v>116</v>
      </c>
      <c r="B118" s="8" t="s">
        <v>150</v>
      </c>
      <c r="C118" s="8" t="s">
        <v>9</v>
      </c>
      <c r="D118" s="8" t="s">
        <v>563</v>
      </c>
      <c r="E118" s="8" t="s">
        <v>352</v>
      </c>
      <c r="F118" s="8" t="s">
        <v>578</v>
      </c>
      <c r="G118" s="9" t="s">
        <v>454</v>
      </c>
      <c r="H118" s="10" t="s">
        <v>454</v>
      </c>
      <c r="I118" s="10" t="s">
        <v>454</v>
      </c>
      <c r="J118" s="10" t="s">
        <v>454</v>
      </c>
      <c r="K118" s="11">
        <v>1</v>
      </c>
      <c r="L118" s="11"/>
      <c r="M118" s="7" t="s">
        <v>727</v>
      </c>
      <c r="O118" s="4">
        <f t="shared" si="1"/>
        <v>1</v>
      </c>
    </row>
    <row r="119" spans="1:15" ht="87" x14ac:dyDescent="0.35">
      <c r="A119" s="7">
        <v>117</v>
      </c>
      <c r="B119" s="8" t="s">
        <v>151</v>
      </c>
      <c r="C119" s="8" t="s">
        <v>9</v>
      </c>
      <c r="D119" s="8" t="s">
        <v>563</v>
      </c>
      <c r="E119" s="8" t="s">
        <v>352</v>
      </c>
      <c r="F119" s="8" t="s">
        <v>579</v>
      </c>
      <c r="G119" s="9" t="s">
        <v>454</v>
      </c>
      <c r="H119" s="10" t="s">
        <v>454</v>
      </c>
      <c r="I119" s="10" t="s">
        <v>454</v>
      </c>
      <c r="J119" s="10" t="s">
        <v>454</v>
      </c>
      <c r="K119" s="11">
        <v>1</v>
      </c>
      <c r="L119" s="11"/>
      <c r="M119" s="7" t="s">
        <v>727</v>
      </c>
      <c r="O119" s="4">
        <f t="shared" si="1"/>
        <v>1</v>
      </c>
    </row>
    <row r="120" spans="1:15" ht="43.5" x14ac:dyDescent="0.35">
      <c r="A120" s="7">
        <v>118</v>
      </c>
      <c r="B120" s="8" t="s">
        <v>152</v>
      </c>
      <c r="C120" s="8" t="s">
        <v>9</v>
      </c>
      <c r="D120" s="8" t="s">
        <v>563</v>
      </c>
      <c r="E120" s="8" t="s">
        <v>352</v>
      </c>
      <c r="F120" s="8" t="s">
        <v>580</v>
      </c>
      <c r="G120" s="9" t="s">
        <v>454</v>
      </c>
      <c r="H120" s="10" t="s">
        <v>454</v>
      </c>
      <c r="I120" s="10" t="s">
        <v>454</v>
      </c>
      <c r="J120" s="10" t="s">
        <v>454</v>
      </c>
      <c r="K120" s="11">
        <v>1</v>
      </c>
      <c r="L120" s="11"/>
      <c r="M120" s="7" t="s">
        <v>727</v>
      </c>
      <c r="O120" s="4">
        <f t="shared" si="1"/>
        <v>1</v>
      </c>
    </row>
    <row r="121" spans="1:15" ht="43.5" x14ac:dyDescent="0.35">
      <c r="A121" s="7">
        <v>119</v>
      </c>
      <c r="B121" s="8" t="s">
        <v>153</v>
      </c>
      <c r="C121" s="8" t="s">
        <v>9</v>
      </c>
      <c r="D121" s="8" t="s">
        <v>563</v>
      </c>
      <c r="E121" s="8" t="s">
        <v>352</v>
      </c>
      <c r="F121" s="8" t="s">
        <v>478</v>
      </c>
      <c r="G121" s="9" t="s">
        <v>454</v>
      </c>
      <c r="H121" s="10" t="s">
        <v>454</v>
      </c>
      <c r="I121" s="10" t="s">
        <v>454</v>
      </c>
      <c r="J121" s="10" t="s">
        <v>455</v>
      </c>
      <c r="K121" s="11">
        <v>1</v>
      </c>
      <c r="L121" s="11"/>
      <c r="M121" s="7" t="s">
        <v>727</v>
      </c>
      <c r="O121" s="4">
        <f t="shared" si="1"/>
        <v>0</v>
      </c>
    </row>
    <row r="122" spans="1:15" ht="43.5" x14ac:dyDescent="0.35">
      <c r="A122" s="7">
        <v>120</v>
      </c>
      <c r="B122" s="8" t="s">
        <v>154</v>
      </c>
      <c r="C122" s="8" t="s">
        <v>9</v>
      </c>
      <c r="D122" s="8" t="s">
        <v>563</v>
      </c>
      <c r="E122" s="8" t="s">
        <v>352</v>
      </c>
      <c r="F122" s="8" t="s">
        <v>581</v>
      </c>
      <c r="G122" s="9" t="s">
        <v>454</v>
      </c>
      <c r="H122" s="10" t="s">
        <v>454</v>
      </c>
      <c r="I122" s="10" t="s">
        <v>454</v>
      </c>
      <c r="J122" s="10" t="s">
        <v>455</v>
      </c>
      <c r="K122" s="11">
        <v>1</v>
      </c>
      <c r="L122" s="11"/>
      <c r="M122" s="7" t="s">
        <v>727</v>
      </c>
      <c r="O122" s="4">
        <f t="shared" si="1"/>
        <v>0</v>
      </c>
    </row>
    <row r="123" spans="1:15" ht="43.5" x14ac:dyDescent="0.35">
      <c r="A123" s="7">
        <v>121</v>
      </c>
      <c r="B123" s="8" t="s">
        <v>155</v>
      </c>
      <c r="C123" s="8" t="s">
        <v>9</v>
      </c>
      <c r="D123" s="8" t="s">
        <v>563</v>
      </c>
      <c r="E123" s="8" t="s">
        <v>352</v>
      </c>
      <c r="F123" s="8" t="s">
        <v>476</v>
      </c>
      <c r="G123" s="9" t="s">
        <v>454</v>
      </c>
      <c r="H123" s="10" t="s">
        <v>454</v>
      </c>
      <c r="I123" s="10" t="s">
        <v>454</v>
      </c>
      <c r="J123" s="10" t="s">
        <v>454</v>
      </c>
      <c r="K123" s="11">
        <v>1</v>
      </c>
      <c r="L123" s="11"/>
      <c r="M123" s="7" t="s">
        <v>727</v>
      </c>
      <c r="O123" s="4">
        <f t="shared" si="1"/>
        <v>1</v>
      </c>
    </row>
    <row r="124" spans="1:15" ht="43.5" x14ac:dyDescent="0.35">
      <c r="A124" s="7">
        <v>122</v>
      </c>
      <c r="B124" s="8" t="s">
        <v>156</v>
      </c>
      <c r="C124" s="8" t="s">
        <v>9</v>
      </c>
      <c r="D124" s="8" t="s">
        <v>563</v>
      </c>
      <c r="E124" s="8" t="s">
        <v>582</v>
      </c>
      <c r="F124" s="8" t="s">
        <v>583</v>
      </c>
      <c r="G124" s="9" t="s">
        <v>454</v>
      </c>
      <c r="H124" s="10" t="s">
        <v>454</v>
      </c>
      <c r="I124" s="10" t="s">
        <v>454</v>
      </c>
      <c r="J124" s="10" t="s">
        <v>454</v>
      </c>
      <c r="K124" s="11">
        <v>1</v>
      </c>
      <c r="L124" s="11"/>
      <c r="M124" s="7" t="s">
        <v>727</v>
      </c>
      <c r="O124" s="4">
        <f t="shared" si="1"/>
        <v>1</v>
      </c>
    </row>
    <row r="125" spans="1:15" ht="43.5" x14ac:dyDescent="0.35">
      <c r="A125" s="7">
        <v>123</v>
      </c>
      <c r="B125" s="8" t="s">
        <v>157</v>
      </c>
      <c r="C125" s="8" t="s">
        <v>9</v>
      </c>
      <c r="D125" s="8" t="s">
        <v>563</v>
      </c>
      <c r="E125" s="8" t="s">
        <v>582</v>
      </c>
      <c r="F125" s="8" t="s">
        <v>584</v>
      </c>
      <c r="G125" s="9" t="s">
        <v>454</v>
      </c>
      <c r="H125" s="10" t="s">
        <v>454</v>
      </c>
      <c r="I125" s="10" t="s">
        <v>454</v>
      </c>
      <c r="J125" s="10" t="s">
        <v>454</v>
      </c>
      <c r="K125" s="11">
        <v>1</v>
      </c>
      <c r="L125" s="11"/>
      <c r="M125" s="7" t="s">
        <v>727</v>
      </c>
      <c r="O125" s="4">
        <f t="shared" si="1"/>
        <v>1</v>
      </c>
    </row>
    <row r="126" spans="1:15" ht="43.5" x14ac:dyDescent="0.35">
      <c r="A126" s="7">
        <v>124</v>
      </c>
      <c r="B126" s="8" t="s">
        <v>158</v>
      </c>
      <c r="C126" s="8" t="s">
        <v>9</v>
      </c>
      <c r="D126" s="8" t="s">
        <v>563</v>
      </c>
      <c r="E126" s="8" t="s">
        <v>582</v>
      </c>
      <c r="F126" s="8" t="s">
        <v>585</v>
      </c>
      <c r="G126" s="9" t="s">
        <v>454</v>
      </c>
      <c r="H126" s="10" t="s">
        <v>454</v>
      </c>
      <c r="I126" s="10" t="s">
        <v>454</v>
      </c>
      <c r="J126" s="10" t="s">
        <v>454</v>
      </c>
      <c r="K126" s="11">
        <v>1</v>
      </c>
      <c r="L126" s="11"/>
      <c r="M126" s="7" t="s">
        <v>727</v>
      </c>
      <c r="O126" s="4">
        <f t="shared" si="1"/>
        <v>1</v>
      </c>
    </row>
    <row r="127" spans="1:15" ht="58" x14ac:dyDescent="0.35">
      <c r="A127" s="7">
        <v>125</v>
      </c>
      <c r="B127" s="8" t="s">
        <v>159</v>
      </c>
      <c r="C127" s="8" t="s">
        <v>9</v>
      </c>
      <c r="D127" s="8" t="s">
        <v>563</v>
      </c>
      <c r="E127" s="8" t="s">
        <v>582</v>
      </c>
      <c r="F127" s="8" t="s">
        <v>586</v>
      </c>
      <c r="G127" s="9" t="s">
        <v>454</v>
      </c>
      <c r="H127" s="10" t="s">
        <v>454</v>
      </c>
      <c r="I127" s="10" t="s">
        <v>454</v>
      </c>
      <c r="J127" s="10" t="s">
        <v>454</v>
      </c>
      <c r="K127" s="11">
        <v>1</v>
      </c>
      <c r="L127" s="11"/>
      <c r="M127" s="7" t="s">
        <v>727</v>
      </c>
      <c r="O127" s="4">
        <f t="shared" si="1"/>
        <v>1</v>
      </c>
    </row>
    <row r="128" spans="1:15" ht="43.5" x14ac:dyDescent="0.35">
      <c r="A128" s="7">
        <v>126</v>
      </c>
      <c r="B128" s="8" t="s">
        <v>160</v>
      </c>
      <c r="C128" s="8" t="s">
        <v>9</v>
      </c>
      <c r="D128" s="8" t="s">
        <v>563</v>
      </c>
      <c r="E128" s="8" t="s">
        <v>587</v>
      </c>
      <c r="F128" s="8" t="s">
        <v>344</v>
      </c>
      <c r="G128" s="9" t="s">
        <v>454</v>
      </c>
      <c r="H128" s="10" t="s">
        <v>454</v>
      </c>
      <c r="I128" s="10" t="s">
        <v>454</v>
      </c>
      <c r="J128" s="10" t="s">
        <v>454</v>
      </c>
      <c r="K128" s="11">
        <v>1</v>
      </c>
      <c r="L128" s="11"/>
      <c r="M128" s="7" t="s">
        <v>727</v>
      </c>
      <c r="O128" s="4">
        <f t="shared" si="1"/>
        <v>1</v>
      </c>
    </row>
    <row r="129" spans="1:15" ht="43.5" x14ac:dyDescent="0.35">
      <c r="A129" s="7">
        <v>127</v>
      </c>
      <c r="B129" s="8" t="s">
        <v>161</v>
      </c>
      <c r="C129" s="8" t="s">
        <v>9</v>
      </c>
      <c r="D129" s="8" t="s">
        <v>563</v>
      </c>
      <c r="E129" s="8" t="s">
        <v>588</v>
      </c>
      <c r="F129" s="8" t="s">
        <v>589</v>
      </c>
      <c r="G129" s="9" t="s">
        <v>454</v>
      </c>
      <c r="H129" s="10" t="s">
        <v>454</v>
      </c>
      <c r="I129" s="10" t="s">
        <v>454</v>
      </c>
      <c r="J129" s="10" t="s">
        <v>454</v>
      </c>
      <c r="K129" s="11">
        <v>1</v>
      </c>
      <c r="L129" s="11"/>
      <c r="M129" s="7" t="s">
        <v>727</v>
      </c>
      <c r="O129" s="4">
        <f t="shared" si="1"/>
        <v>1</v>
      </c>
    </row>
    <row r="130" spans="1:15" ht="43.5" x14ac:dyDescent="0.35">
      <c r="A130" s="7">
        <v>128</v>
      </c>
      <c r="B130" s="8" t="s">
        <v>162</v>
      </c>
      <c r="C130" s="8" t="s">
        <v>9</v>
      </c>
      <c r="D130" s="8" t="s">
        <v>563</v>
      </c>
      <c r="E130" s="8" t="s">
        <v>464</v>
      </c>
      <c r="F130" s="8" t="s">
        <v>344</v>
      </c>
      <c r="G130" s="9" t="s">
        <v>454</v>
      </c>
      <c r="H130" s="10" t="s">
        <v>454</v>
      </c>
      <c r="I130" s="10" t="s">
        <v>454</v>
      </c>
      <c r="J130" s="10" t="s">
        <v>455</v>
      </c>
      <c r="K130" s="11">
        <v>1</v>
      </c>
      <c r="L130" s="11"/>
      <c r="M130" s="7" t="s">
        <v>727</v>
      </c>
      <c r="O130" s="4">
        <f t="shared" si="1"/>
        <v>0</v>
      </c>
    </row>
    <row r="131" spans="1:15" ht="58" x14ac:dyDescent="0.35">
      <c r="A131" s="7">
        <v>129</v>
      </c>
      <c r="B131" s="8" t="s">
        <v>163</v>
      </c>
      <c r="C131" s="8" t="s">
        <v>9</v>
      </c>
      <c r="D131" s="8" t="s">
        <v>563</v>
      </c>
      <c r="E131" s="8" t="s">
        <v>450</v>
      </c>
      <c r="F131" s="8" t="s">
        <v>590</v>
      </c>
      <c r="G131" s="9" t="s">
        <v>454</v>
      </c>
      <c r="H131" s="10" t="s">
        <v>454</v>
      </c>
      <c r="I131" s="10" t="s">
        <v>454</v>
      </c>
      <c r="J131" s="10" t="s">
        <v>454</v>
      </c>
      <c r="K131" s="11">
        <v>1</v>
      </c>
      <c r="L131" s="11"/>
      <c r="M131" s="7" t="s">
        <v>727</v>
      </c>
      <c r="O131" s="4">
        <f t="shared" si="1"/>
        <v>1</v>
      </c>
    </row>
    <row r="132" spans="1:15" ht="43.5" x14ac:dyDescent="0.35">
      <c r="A132" s="7">
        <v>130</v>
      </c>
      <c r="B132" s="8" t="s">
        <v>164</v>
      </c>
      <c r="C132" s="8" t="s">
        <v>9</v>
      </c>
      <c r="D132" s="8" t="s">
        <v>563</v>
      </c>
      <c r="E132" s="8" t="s">
        <v>450</v>
      </c>
      <c r="F132" s="8" t="s">
        <v>591</v>
      </c>
      <c r="G132" s="9" t="s">
        <v>454</v>
      </c>
      <c r="H132" s="10" t="s">
        <v>454</v>
      </c>
      <c r="I132" s="10" t="s">
        <v>454</v>
      </c>
      <c r="J132" s="10" t="s">
        <v>454</v>
      </c>
      <c r="K132" s="11">
        <v>1</v>
      </c>
      <c r="L132" s="11"/>
      <c r="M132" s="7" t="s">
        <v>727</v>
      </c>
      <c r="O132" s="4">
        <f t="shared" si="1"/>
        <v>1</v>
      </c>
    </row>
    <row r="133" spans="1:15" ht="43.5" x14ac:dyDescent="0.35">
      <c r="A133" s="7">
        <v>131</v>
      </c>
      <c r="B133" s="8" t="s">
        <v>165</v>
      </c>
      <c r="C133" s="8" t="s">
        <v>9</v>
      </c>
      <c r="D133" s="8" t="s">
        <v>563</v>
      </c>
      <c r="E133" s="8" t="s">
        <v>354</v>
      </c>
      <c r="F133" s="8" t="s">
        <v>592</v>
      </c>
      <c r="G133" s="9" t="s">
        <v>454</v>
      </c>
      <c r="H133" s="10" t="s">
        <v>454</v>
      </c>
      <c r="I133" s="10" t="s">
        <v>454</v>
      </c>
      <c r="J133" s="10" t="s">
        <v>455</v>
      </c>
      <c r="K133" s="11">
        <v>1</v>
      </c>
      <c r="L133" s="11"/>
      <c r="M133" s="7" t="s">
        <v>727</v>
      </c>
      <c r="O133" s="4">
        <f t="shared" ref="O133:O196" si="2">IF(J133="√",1,0)</f>
        <v>0</v>
      </c>
    </row>
    <row r="134" spans="1:15" ht="43.5" x14ac:dyDescent="0.35">
      <c r="A134" s="7">
        <v>132</v>
      </c>
      <c r="B134" s="8" t="s">
        <v>166</v>
      </c>
      <c r="C134" s="8" t="s">
        <v>9</v>
      </c>
      <c r="D134" s="8" t="s">
        <v>563</v>
      </c>
      <c r="E134" s="8" t="s">
        <v>587</v>
      </c>
      <c r="F134" s="8" t="s">
        <v>593</v>
      </c>
      <c r="G134" s="9" t="s">
        <v>454</v>
      </c>
      <c r="H134" s="10" t="s">
        <v>454</v>
      </c>
      <c r="I134" s="10" t="s">
        <v>454</v>
      </c>
      <c r="J134" s="10" t="s">
        <v>455</v>
      </c>
      <c r="K134" s="11">
        <v>1</v>
      </c>
      <c r="L134" s="11"/>
      <c r="M134" s="7" t="s">
        <v>727</v>
      </c>
      <c r="O134" s="4">
        <f t="shared" si="2"/>
        <v>0</v>
      </c>
    </row>
    <row r="135" spans="1:15" ht="43.5" x14ac:dyDescent="0.35">
      <c r="A135" s="7">
        <v>133</v>
      </c>
      <c r="B135" s="8" t="s">
        <v>167</v>
      </c>
      <c r="C135" s="8" t="s">
        <v>9</v>
      </c>
      <c r="D135" s="8" t="s">
        <v>563</v>
      </c>
      <c r="E135" s="8" t="s">
        <v>594</v>
      </c>
      <c r="F135" s="8" t="s">
        <v>585</v>
      </c>
      <c r="G135" s="9" t="s">
        <v>454</v>
      </c>
      <c r="H135" s="10" t="s">
        <v>454</v>
      </c>
      <c r="I135" s="10" t="s">
        <v>454</v>
      </c>
      <c r="J135" s="10" t="s">
        <v>454</v>
      </c>
      <c r="K135" s="11">
        <v>1</v>
      </c>
      <c r="L135" s="11"/>
      <c r="M135" s="7" t="s">
        <v>727</v>
      </c>
      <c r="O135" s="4">
        <f t="shared" si="2"/>
        <v>1</v>
      </c>
    </row>
    <row r="136" spans="1:15" ht="43.5" x14ac:dyDescent="0.35">
      <c r="A136" s="7">
        <v>134</v>
      </c>
      <c r="B136" s="8" t="s">
        <v>168</v>
      </c>
      <c r="C136" s="8" t="s">
        <v>9</v>
      </c>
      <c r="D136" s="8" t="s">
        <v>563</v>
      </c>
      <c r="E136" s="8" t="s">
        <v>595</v>
      </c>
      <c r="F136" s="8" t="s">
        <v>596</v>
      </c>
      <c r="G136" s="9" t="s">
        <v>454</v>
      </c>
      <c r="H136" s="10" t="s">
        <v>454</v>
      </c>
      <c r="I136" s="10" t="s">
        <v>454</v>
      </c>
      <c r="J136" s="10" t="s">
        <v>455</v>
      </c>
      <c r="K136" s="11">
        <v>1</v>
      </c>
      <c r="L136" s="11"/>
      <c r="M136" s="7" t="s">
        <v>727</v>
      </c>
      <c r="O136" s="4">
        <f t="shared" si="2"/>
        <v>0</v>
      </c>
    </row>
    <row r="137" spans="1:15" ht="43.5" x14ac:dyDescent="0.35">
      <c r="A137" s="7">
        <v>135</v>
      </c>
      <c r="B137" s="8" t="s">
        <v>169</v>
      </c>
      <c r="C137" s="8" t="s">
        <v>9</v>
      </c>
      <c r="D137" s="8" t="s">
        <v>563</v>
      </c>
      <c r="E137" s="8" t="s">
        <v>352</v>
      </c>
      <c r="F137" s="8" t="s">
        <v>597</v>
      </c>
      <c r="G137" s="9" t="s">
        <v>454</v>
      </c>
      <c r="H137" s="10" t="s">
        <v>454</v>
      </c>
      <c r="I137" s="10" t="s">
        <v>454</v>
      </c>
      <c r="J137" s="10" t="s">
        <v>455</v>
      </c>
      <c r="K137" s="11">
        <v>1</v>
      </c>
      <c r="L137" s="11"/>
      <c r="M137" s="7" t="s">
        <v>727</v>
      </c>
      <c r="O137" s="4">
        <f t="shared" si="2"/>
        <v>0</v>
      </c>
    </row>
    <row r="138" spans="1:15" ht="116" x14ac:dyDescent="0.35">
      <c r="A138" s="7">
        <v>136</v>
      </c>
      <c r="B138" s="8" t="s">
        <v>170</v>
      </c>
      <c r="C138" s="8" t="s">
        <v>9</v>
      </c>
      <c r="D138" s="8" t="s">
        <v>563</v>
      </c>
      <c r="E138" s="8" t="s">
        <v>354</v>
      </c>
      <c r="F138" s="8" t="s">
        <v>598</v>
      </c>
      <c r="G138" s="9" t="s">
        <v>454</v>
      </c>
      <c r="H138" s="10" t="s">
        <v>454</v>
      </c>
      <c r="I138" s="10" t="s">
        <v>454</v>
      </c>
      <c r="J138" s="10" t="s">
        <v>455</v>
      </c>
      <c r="K138" s="11">
        <v>1</v>
      </c>
      <c r="L138" s="11"/>
      <c r="M138" s="7" t="s">
        <v>727</v>
      </c>
      <c r="O138" s="4">
        <f t="shared" si="2"/>
        <v>0</v>
      </c>
    </row>
    <row r="139" spans="1:15" ht="116" x14ac:dyDescent="0.35">
      <c r="A139" s="7">
        <v>137</v>
      </c>
      <c r="B139" s="8" t="s">
        <v>171</v>
      </c>
      <c r="C139" s="8" t="s">
        <v>9</v>
      </c>
      <c r="D139" s="8" t="s">
        <v>563</v>
      </c>
      <c r="E139" s="8" t="s">
        <v>485</v>
      </c>
      <c r="F139" s="8" t="s">
        <v>599</v>
      </c>
      <c r="G139" s="9" t="s">
        <v>454</v>
      </c>
      <c r="H139" s="10" t="s">
        <v>454</v>
      </c>
      <c r="I139" s="10" t="s">
        <v>454</v>
      </c>
      <c r="J139" s="10" t="s">
        <v>455</v>
      </c>
      <c r="K139" s="11">
        <v>1</v>
      </c>
      <c r="L139" s="11"/>
      <c r="M139" s="7" t="s">
        <v>727</v>
      </c>
      <c r="O139" s="4">
        <f t="shared" si="2"/>
        <v>0</v>
      </c>
    </row>
    <row r="140" spans="1:15" ht="101.5" x14ac:dyDescent="0.35">
      <c r="A140" s="7">
        <v>138</v>
      </c>
      <c r="B140" s="8" t="s">
        <v>172</v>
      </c>
      <c r="C140" s="8" t="s">
        <v>9</v>
      </c>
      <c r="D140" s="8" t="s">
        <v>563</v>
      </c>
      <c r="E140" s="8" t="s">
        <v>600</v>
      </c>
      <c r="F140" s="8" t="s">
        <v>601</v>
      </c>
      <c r="G140" s="9" t="s">
        <v>454</v>
      </c>
      <c r="H140" s="10" t="s">
        <v>454</v>
      </c>
      <c r="I140" s="10" t="s">
        <v>454</v>
      </c>
      <c r="J140" s="10" t="s">
        <v>455</v>
      </c>
      <c r="K140" s="11">
        <v>1</v>
      </c>
      <c r="L140" s="11"/>
      <c r="M140" s="7" t="s">
        <v>727</v>
      </c>
      <c r="O140" s="4">
        <f t="shared" si="2"/>
        <v>0</v>
      </c>
    </row>
    <row r="141" spans="1:15" ht="72.5" x14ac:dyDescent="0.35">
      <c r="A141" s="7">
        <v>139</v>
      </c>
      <c r="B141" s="8" t="s">
        <v>173</v>
      </c>
      <c r="C141" s="8" t="s">
        <v>9</v>
      </c>
      <c r="D141" s="8" t="s">
        <v>563</v>
      </c>
      <c r="E141" s="8" t="s">
        <v>499</v>
      </c>
      <c r="F141" s="8" t="s">
        <v>602</v>
      </c>
      <c r="G141" s="9" t="s">
        <v>454</v>
      </c>
      <c r="H141" s="10" t="s">
        <v>454</v>
      </c>
      <c r="I141" s="10" t="s">
        <v>454</v>
      </c>
      <c r="J141" s="10" t="s">
        <v>455</v>
      </c>
      <c r="K141" s="11">
        <v>1</v>
      </c>
      <c r="L141" s="11"/>
      <c r="M141" s="7" t="s">
        <v>727</v>
      </c>
      <c r="O141" s="4">
        <f t="shared" si="2"/>
        <v>0</v>
      </c>
    </row>
    <row r="142" spans="1:15" ht="43.5" x14ac:dyDescent="0.35">
      <c r="A142" s="7">
        <v>140</v>
      </c>
      <c r="B142" s="8" t="s">
        <v>174</v>
      </c>
      <c r="C142" s="8" t="s">
        <v>9</v>
      </c>
      <c r="D142" s="8" t="s">
        <v>563</v>
      </c>
      <c r="E142" s="8" t="s">
        <v>603</v>
      </c>
      <c r="F142" s="8" t="s">
        <v>604</v>
      </c>
      <c r="G142" s="9" t="s">
        <v>454</v>
      </c>
      <c r="H142" s="10" t="s">
        <v>454</v>
      </c>
      <c r="I142" s="10" t="s">
        <v>454</v>
      </c>
      <c r="J142" s="10" t="s">
        <v>455</v>
      </c>
      <c r="K142" s="11">
        <v>1</v>
      </c>
      <c r="L142" s="11"/>
      <c r="M142" s="7" t="s">
        <v>727</v>
      </c>
      <c r="O142" s="4">
        <f t="shared" si="2"/>
        <v>0</v>
      </c>
    </row>
    <row r="143" spans="1:15" ht="43.5" x14ac:dyDescent="0.35">
      <c r="A143" s="7">
        <v>141</v>
      </c>
      <c r="B143" s="8" t="s">
        <v>175</v>
      </c>
      <c r="C143" s="8" t="s">
        <v>9</v>
      </c>
      <c r="D143" s="8" t="s">
        <v>563</v>
      </c>
      <c r="E143" s="8" t="s">
        <v>378</v>
      </c>
      <c r="F143" s="8" t="s">
        <v>605</v>
      </c>
      <c r="G143" s="9" t="s">
        <v>454</v>
      </c>
      <c r="H143" s="10" t="s">
        <v>454</v>
      </c>
      <c r="I143" s="10" t="s">
        <v>454</v>
      </c>
      <c r="J143" s="10" t="s">
        <v>455</v>
      </c>
      <c r="K143" s="11">
        <v>1</v>
      </c>
      <c r="L143" s="11"/>
      <c r="M143" s="7" t="s">
        <v>727</v>
      </c>
      <c r="O143" s="4">
        <f t="shared" si="2"/>
        <v>0</v>
      </c>
    </row>
    <row r="144" spans="1:15" ht="43.5" x14ac:dyDescent="0.35">
      <c r="A144" s="7">
        <v>142</v>
      </c>
      <c r="B144" s="8" t="s">
        <v>176</v>
      </c>
      <c r="C144" s="8" t="s">
        <v>9</v>
      </c>
      <c r="D144" s="8" t="s">
        <v>563</v>
      </c>
      <c r="E144" s="8" t="s">
        <v>606</v>
      </c>
      <c r="F144" s="8" t="s">
        <v>607</v>
      </c>
      <c r="G144" s="9" t="s">
        <v>454</v>
      </c>
      <c r="H144" s="10" t="s">
        <v>454</v>
      </c>
      <c r="I144" s="10" t="s">
        <v>454</v>
      </c>
      <c r="J144" s="10" t="s">
        <v>455</v>
      </c>
      <c r="K144" s="11">
        <v>1</v>
      </c>
      <c r="L144" s="11"/>
      <c r="M144" s="7" t="s">
        <v>727</v>
      </c>
      <c r="O144" s="4">
        <f t="shared" si="2"/>
        <v>0</v>
      </c>
    </row>
    <row r="145" spans="1:15" ht="43.5" x14ac:dyDescent="0.35">
      <c r="A145" s="7">
        <v>143</v>
      </c>
      <c r="B145" s="8" t="s">
        <v>177</v>
      </c>
      <c r="C145" s="8" t="s">
        <v>178</v>
      </c>
      <c r="D145" s="8" t="s">
        <v>563</v>
      </c>
      <c r="E145" s="8" t="s">
        <v>464</v>
      </c>
      <c r="F145" s="8" t="s">
        <v>344</v>
      </c>
      <c r="G145" s="9" t="s">
        <v>454</v>
      </c>
      <c r="H145" s="10" t="s">
        <v>454</v>
      </c>
      <c r="I145" s="10" t="s">
        <v>454</v>
      </c>
      <c r="J145" s="10" t="s">
        <v>454</v>
      </c>
      <c r="K145" s="11">
        <v>1</v>
      </c>
      <c r="L145" s="11"/>
      <c r="M145" s="7" t="s">
        <v>727</v>
      </c>
      <c r="O145" s="4">
        <f t="shared" si="2"/>
        <v>1</v>
      </c>
    </row>
    <row r="146" spans="1:15" ht="43.5" x14ac:dyDescent="0.35">
      <c r="A146" s="7">
        <v>144</v>
      </c>
      <c r="B146" s="8" t="s">
        <v>179</v>
      </c>
      <c r="C146" s="8" t="s">
        <v>9</v>
      </c>
      <c r="D146" s="8" t="s">
        <v>563</v>
      </c>
      <c r="E146" s="8" t="s">
        <v>485</v>
      </c>
      <c r="F146" s="8" t="s">
        <v>608</v>
      </c>
      <c r="G146" s="9" t="s">
        <v>454</v>
      </c>
      <c r="H146" s="10" t="s">
        <v>454</v>
      </c>
      <c r="I146" s="10" t="s">
        <v>454</v>
      </c>
      <c r="J146" s="10" t="s">
        <v>454</v>
      </c>
      <c r="K146" s="11">
        <v>1</v>
      </c>
      <c r="L146" s="11"/>
      <c r="M146" s="7" t="s">
        <v>727</v>
      </c>
      <c r="O146" s="4">
        <f t="shared" si="2"/>
        <v>1</v>
      </c>
    </row>
    <row r="147" spans="1:15" ht="43.5" x14ac:dyDescent="0.35">
      <c r="A147" s="7">
        <v>145</v>
      </c>
      <c r="B147" s="8" t="s">
        <v>180</v>
      </c>
      <c r="C147" s="8" t="s">
        <v>9</v>
      </c>
      <c r="D147" s="8" t="s">
        <v>563</v>
      </c>
      <c r="E147" s="8" t="s">
        <v>609</v>
      </c>
      <c r="F147" s="8" t="s">
        <v>610</v>
      </c>
      <c r="G147" s="9" t="s">
        <v>454</v>
      </c>
      <c r="H147" s="10" t="s">
        <v>454</v>
      </c>
      <c r="I147" s="10" t="s">
        <v>454</v>
      </c>
      <c r="J147" s="10" t="s">
        <v>454</v>
      </c>
      <c r="K147" s="11">
        <v>1</v>
      </c>
      <c r="L147" s="11"/>
      <c r="M147" s="7" t="s">
        <v>727</v>
      </c>
      <c r="O147" s="4">
        <f t="shared" si="2"/>
        <v>1</v>
      </c>
    </row>
    <row r="148" spans="1:15" ht="43.5" x14ac:dyDescent="0.35">
      <c r="A148" s="7">
        <v>146</v>
      </c>
      <c r="B148" s="8" t="s">
        <v>181</v>
      </c>
      <c r="C148" s="8" t="s">
        <v>9</v>
      </c>
      <c r="D148" s="8" t="s">
        <v>563</v>
      </c>
      <c r="E148" s="8" t="s">
        <v>441</v>
      </c>
      <c r="F148" s="8" t="s">
        <v>611</v>
      </c>
      <c r="G148" s="9" t="s">
        <v>454</v>
      </c>
      <c r="H148" s="10" t="s">
        <v>454</v>
      </c>
      <c r="I148" s="10" t="s">
        <v>454</v>
      </c>
      <c r="J148" s="10" t="s">
        <v>454</v>
      </c>
      <c r="K148" s="11">
        <v>1</v>
      </c>
      <c r="L148" s="11"/>
      <c r="M148" s="7" t="s">
        <v>727</v>
      </c>
      <c r="O148" s="4">
        <f t="shared" si="2"/>
        <v>1</v>
      </c>
    </row>
    <row r="149" spans="1:15" ht="43.5" x14ac:dyDescent="0.35">
      <c r="A149" s="7">
        <v>147</v>
      </c>
      <c r="B149" s="8" t="s">
        <v>182</v>
      </c>
      <c r="C149" s="8" t="s">
        <v>9</v>
      </c>
      <c r="D149" s="8" t="s">
        <v>563</v>
      </c>
      <c r="E149" s="8" t="s">
        <v>441</v>
      </c>
      <c r="F149" s="8" t="s">
        <v>612</v>
      </c>
      <c r="G149" s="9" t="s">
        <v>454</v>
      </c>
      <c r="H149" s="10" t="s">
        <v>454</v>
      </c>
      <c r="I149" s="10" t="s">
        <v>454</v>
      </c>
      <c r="J149" s="10" t="s">
        <v>454</v>
      </c>
      <c r="K149" s="11">
        <v>1</v>
      </c>
      <c r="L149" s="11"/>
      <c r="M149" s="7" t="s">
        <v>727</v>
      </c>
      <c r="O149" s="4">
        <f t="shared" si="2"/>
        <v>1</v>
      </c>
    </row>
    <row r="150" spans="1:15" ht="72.5" x14ac:dyDescent="0.35">
      <c r="A150" s="7">
        <v>148</v>
      </c>
      <c r="B150" s="8" t="s">
        <v>183</v>
      </c>
      <c r="C150" s="8" t="s">
        <v>9</v>
      </c>
      <c r="D150" s="8" t="s">
        <v>563</v>
      </c>
      <c r="E150" s="8" t="s">
        <v>441</v>
      </c>
      <c r="F150" s="8" t="s">
        <v>613</v>
      </c>
      <c r="G150" s="9" t="s">
        <v>454</v>
      </c>
      <c r="H150" s="10" t="s">
        <v>454</v>
      </c>
      <c r="I150" s="10" t="s">
        <v>454</v>
      </c>
      <c r="J150" s="10" t="s">
        <v>454</v>
      </c>
      <c r="K150" s="11">
        <v>1</v>
      </c>
      <c r="L150" s="11"/>
      <c r="M150" s="7" t="s">
        <v>727</v>
      </c>
      <c r="O150" s="4">
        <f t="shared" si="2"/>
        <v>1</v>
      </c>
    </row>
    <row r="151" spans="1:15" ht="58" x14ac:dyDescent="0.35">
      <c r="A151" s="7">
        <v>149</v>
      </c>
      <c r="B151" s="8" t="s">
        <v>184</v>
      </c>
      <c r="C151" s="8" t="s">
        <v>9</v>
      </c>
      <c r="D151" s="8" t="s">
        <v>563</v>
      </c>
      <c r="E151" s="8" t="s">
        <v>606</v>
      </c>
      <c r="F151" s="8" t="s">
        <v>614</v>
      </c>
      <c r="G151" s="9" t="s">
        <v>454</v>
      </c>
      <c r="H151" s="10" t="s">
        <v>454</v>
      </c>
      <c r="I151" s="10" t="s">
        <v>454</v>
      </c>
      <c r="J151" s="10" t="s">
        <v>454</v>
      </c>
      <c r="K151" s="11">
        <v>1</v>
      </c>
      <c r="L151" s="11"/>
      <c r="M151" s="7" t="s">
        <v>727</v>
      </c>
      <c r="O151" s="4">
        <f t="shared" si="2"/>
        <v>1</v>
      </c>
    </row>
    <row r="152" spans="1:15" ht="58" x14ac:dyDescent="0.35">
      <c r="A152" s="7">
        <v>150</v>
      </c>
      <c r="B152" s="8" t="s">
        <v>185</v>
      </c>
      <c r="C152" s="8" t="s">
        <v>9</v>
      </c>
      <c r="D152" s="8" t="s">
        <v>563</v>
      </c>
      <c r="E152" s="8" t="s">
        <v>615</v>
      </c>
      <c r="F152" s="8" t="s">
        <v>616</v>
      </c>
      <c r="G152" s="9" t="s">
        <v>454</v>
      </c>
      <c r="H152" s="10" t="s">
        <v>454</v>
      </c>
      <c r="I152" s="10" t="s">
        <v>454</v>
      </c>
      <c r="J152" s="10" t="s">
        <v>454</v>
      </c>
      <c r="K152" s="11">
        <v>1</v>
      </c>
      <c r="L152" s="11"/>
      <c r="M152" s="7" t="s">
        <v>727</v>
      </c>
      <c r="O152" s="4">
        <f t="shared" si="2"/>
        <v>1</v>
      </c>
    </row>
    <row r="153" spans="1:15" ht="43.5" x14ac:dyDescent="0.35">
      <c r="A153" s="7">
        <v>151</v>
      </c>
      <c r="B153" s="8" t="s">
        <v>186</v>
      </c>
      <c r="C153" s="8" t="s">
        <v>9</v>
      </c>
      <c r="D153" s="8" t="s">
        <v>563</v>
      </c>
      <c r="E153" s="8" t="s">
        <v>540</v>
      </c>
      <c r="F153" s="8" t="s">
        <v>617</v>
      </c>
      <c r="G153" s="9" t="s">
        <v>454</v>
      </c>
      <c r="H153" s="10" t="s">
        <v>454</v>
      </c>
      <c r="I153" s="10" t="s">
        <v>454</v>
      </c>
      <c r="J153" s="10" t="s">
        <v>454</v>
      </c>
      <c r="K153" s="11">
        <v>1</v>
      </c>
      <c r="L153" s="11"/>
      <c r="M153" s="7" t="s">
        <v>727</v>
      </c>
      <c r="O153" s="4">
        <f t="shared" si="2"/>
        <v>1</v>
      </c>
    </row>
    <row r="154" spans="1:15" ht="43.5" x14ac:dyDescent="0.35">
      <c r="A154" s="7">
        <v>152</v>
      </c>
      <c r="B154" s="8" t="s">
        <v>187</v>
      </c>
      <c r="C154" s="8" t="s">
        <v>9</v>
      </c>
      <c r="D154" s="8" t="s">
        <v>563</v>
      </c>
      <c r="E154" s="8" t="s">
        <v>540</v>
      </c>
      <c r="F154" s="8" t="s">
        <v>618</v>
      </c>
      <c r="G154" s="9" t="s">
        <v>454</v>
      </c>
      <c r="H154" s="10" t="s">
        <v>454</v>
      </c>
      <c r="I154" s="10" t="s">
        <v>454</v>
      </c>
      <c r="J154" s="10" t="s">
        <v>454</v>
      </c>
      <c r="K154" s="11">
        <v>1</v>
      </c>
      <c r="L154" s="11"/>
      <c r="M154" s="7" t="s">
        <v>727</v>
      </c>
      <c r="O154" s="4">
        <f t="shared" si="2"/>
        <v>1</v>
      </c>
    </row>
    <row r="155" spans="1:15" ht="58" x14ac:dyDescent="0.35">
      <c r="A155" s="7">
        <v>153</v>
      </c>
      <c r="B155" s="8" t="s">
        <v>188</v>
      </c>
      <c r="C155" s="8" t="s">
        <v>9</v>
      </c>
      <c r="D155" s="8" t="s">
        <v>563</v>
      </c>
      <c r="E155" s="8" t="s">
        <v>619</v>
      </c>
      <c r="F155" s="8" t="s">
        <v>620</v>
      </c>
      <c r="G155" s="9" t="s">
        <v>454</v>
      </c>
      <c r="H155" s="10" t="s">
        <v>454</v>
      </c>
      <c r="I155" s="10" t="s">
        <v>454</v>
      </c>
      <c r="J155" s="10" t="s">
        <v>455</v>
      </c>
      <c r="K155" s="11">
        <v>1</v>
      </c>
      <c r="L155" s="11"/>
      <c r="M155" s="7" t="s">
        <v>727</v>
      </c>
      <c r="O155" s="4">
        <f t="shared" si="2"/>
        <v>0</v>
      </c>
    </row>
    <row r="156" spans="1:15" ht="58" x14ac:dyDescent="0.35">
      <c r="A156" s="7">
        <v>154</v>
      </c>
      <c r="B156" s="8" t="s">
        <v>189</v>
      </c>
      <c r="C156" s="8" t="s">
        <v>9</v>
      </c>
      <c r="D156" s="8" t="s">
        <v>563</v>
      </c>
      <c r="E156" s="8" t="s">
        <v>621</v>
      </c>
      <c r="F156" s="8" t="s">
        <v>622</v>
      </c>
      <c r="G156" s="9" t="s">
        <v>454</v>
      </c>
      <c r="H156" s="10" t="s">
        <v>454</v>
      </c>
      <c r="I156" s="10" t="s">
        <v>454</v>
      </c>
      <c r="J156" s="10" t="s">
        <v>454</v>
      </c>
      <c r="K156" s="11">
        <v>1</v>
      </c>
      <c r="L156" s="11"/>
      <c r="M156" s="7" t="s">
        <v>727</v>
      </c>
      <c r="O156" s="4">
        <f t="shared" si="2"/>
        <v>1</v>
      </c>
    </row>
    <row r="157" spans="1:15" ht="43.5" x14ac:dyDescent="0.35">
      <c r="A157" s="7">
        <v>155</v>
      </c>
      <c r="B157" s="8" t="s">
        <v>190</v>
      </c>
      <c r="C157" s="8" t="s">
        <v>9</v>
      </c>
      <c r="D157" s="8" t="s">
        <v>563</v>
      </c>
      <c r="E157" s="8" t="s">
        <v>386</v>
      </c>
      <c r="F157" s="8" t="s">
        <v>623</v>
      </c>
      <c r="G157" s="9" t="s">
        <v>454</v>
      </c>
      <c r="H157" s="10" t="s">
        <v>454</v>
      </c>
      <c r="I157" s="10" t="s">
        <v>454</v>
      </c>
      <c r="J157" s="10" t="s">
        <v>454</v>
      </c>
      <c r="K157" s="11">
        <v>1</v>
      </c>
      <c r="L157" s="11"/>
      <c r="M157" s="7" t="s">
        <v>727</v>
      </c>
      <c r="O157" s="4">
        <f t="shared" si="2"/>
        <v>1</v>
      </c>
    </row>
    <row r="158" spans="1:15" ht="72.5" x14ac:dyDescent="0.35">
      <c r="A158" s="7">
        <v>156</v>
      </c>
      <c r="B158" s="8" t="s">
        <v>191</v>
      </c>
      <c r="C158" s="8" t="s">
        <v>9</v>
      </c>
      <c r="D158" s="8" t="s">
        <v>563</v>
      </c>
      <c r="E158" s="8" t="s">
        <v>386</v>
      </c>
      <c r="F158" s="8" t="s">
        <v>624</v>
      </c>
      <c r="G158" s="9" t="s">
        <v>454</v>
      </c>
      <c r="H158" s="10" t="s">
        <v>454</v>
      </c>
      <c r="I158" s="10" t="s">
        <v>454</v>
      </c>
      <c r="J158" s="10" t="s">
        <v>454</v>
      </c>
      <c r="K158" s="11">
        <v>1</v>
      </c>
      <c r="L158" s="11"/>
      <c r="M158" s="7" t="s">
        <v>727</v>
      </c>
      <c r="O158" s="4">
        <f t="shared" si="2"/>
        <v>1</v>
      </c>
    </row>
    <row r="159" spans="1:15" ht="43.5" x14ac:dyDescent="0.35">
      <c r="A159" s="7">
        <v>157</v>
      </c>
      <c r="B159" s="8" t="s">
        <v>192</v>
      </c>
      <c r="C159" s="8" t="s">
        <v>9</v>
      </c>
      <c r="D159" s="8" t="s">
        <v>563</v>
      </c>
      <c r="E159" s="8" t="s">
        <v>625</v>
      </c>
      <c r="F159" s="8" t="s">
        <v>626</v>
      </c>
      <c r="G159" s="9" t="s">
        <v>454</v>
      </c>
      <c r="H159" s="10" t="s">
        <v>454</v>
      </c>
      <c r="I159" s="10" t="s">
        <v>454</v>
      </c>
      <c r="J159" s="10" t="s">
        <v>455</v>
      </c>
      <c r="K159" s="11">
        <v>1</v>
      </c>
      <c r="L159" s="11"/>
      <c r="M159" s="7" t="s">
        <v>727</v>
      </c>
      <c r="O159" s="4">
        <f t="shared" si="2"/>
        <v>0</v>
      </c>
    </row>
    <row r="160" spans="1:15" ht="43.5" x14ac:dyDescent="0.35">
      <c r="A160" s="7">
        <v>158</v>
      </c>
      <c r="B160" s="8" t="s">
        <v>193</v>
      </c>
      <c r="C160" s="8" t="s">
        <v>9</v>
      </c>
      <c r="D160" s="8" t="s">
        <v>563</v>
      </c>
      <c r="E160" s="8" t="s">
        <v>525</v>
      </c>
      <c r="F160" s="8" t="s">
        <v>627</v>
      </c>
      <c r="G160" s="9" t="s">
        <v>454</v>
      </c>
      <c r="H160" s="10" t="s">
        <v>454</v>
      </c>
      <c r="I160" s="10" t="s">
        <v>454</v>
      </c>
      <c r="J160" s="10" t="s">
        <v>455</v>
      </c>
      <c r="K160" s="11">
        <v>1</v>
      </c>
      <c r="L160" s="11"/>
      <c r="M160" s="7" t="s">
        <v>727</v>
      </c>
      <c r="O160" s="4">
        <f t="shared" si="2"/>
        <v>0</v>
      </c>
    </row>
    <row r="161" spans="1:15" ht="43.5" x14ac:dyDescent="0.35">
      <c r="A161" s="7">
        <v>159</v>
      </c>
      <c r="B161" s="8" t="s">
        <v>194</v>
      </c>
      <c r="C161" s="8" t="s">
        <v>9</v>
      </c>
      <c r="D161" s="8" t="s">
        <v>563</v>
      </c>
      <c r="E161" s="8" t="s">
        <v>464</v>
      </c>
      <c r="F161" s="8" t="s">
        <v>344</v>
      </c>
      <c r="G161" s="9" t="s">
        <v>454</v>
      </c>
      <c r="H161" s="10" t="s">
        <v>454</v>
      </c>
      <c r="I161" s="10" t="s">
        <v>454</v>
      </c>
      <c r="J161" s="10" t="s">
        <v>455</v>
      </c>
      <c r="K161" s="11">
        <v>1</v>
      </c>
      <c r="L161" s="11"/>
      <c r="M161" s="7" t="s">
        <v>727</v>
      </c>
      <c r="O161" s="4">
        <f t="shared" si="2"/>
        <v>0</v>
      </c>
    </row>
    <row r="162" spans="1:15" ht="43.5" x14ac:dyDescent="0.35">
      <c r="A162" s="7">
        <v>160</v>
      </c>
      <c r="B162" s="8" t="s">
        <v>195</v>
      </c>
      <c r="C162" s="8" t="s">
        <v>9</v>
      </c>
      <c r="D162" s="8" t="s">
        <v>563</v>
      </c>
      <c r="E162" s="8" t="s">
        <v>464</v>
      </c>
      <c r="F162" s="8" t="s">
        <v>344</v>
      </c>
      <c r="G162" s="9" t="s">
        <v>454</v>
      </c>
      <c r="H162" s="10" t="s">
        <v>454</v>
      </c>
      <c r="I162" s="10" t="s">
        <v>454</v>
      </c>
      <c r="J162" s="10" t="s">
        <v>455</v>
      </c>
      <c r="K162" s="11">
        <v>1</v>
      </c>
      <c r="L162" s="11"/>
      <c r="M162" s="7" t="s">
        <v>727</v>
      </c>
      <c r="O162" s="4">
        <f t="shared" si="2"/>
        <v>0</v>
      </c>
    </row>
    <row r="163" spans="1:15" ht="43.5" x14ac:dyDescent="0.35">
      <c r="A163" s="7">
        <v>161</v>
      </c>
      <c r="B163" s="8" t="s">
        <v>196</v>
      </c>
      <c r="C163" s="8" t="s">
        <v>9</v>
      </c>
      <c r="D163" s="8" t="s">
        <v>563</v>
      </c>
      <c r="E163" s="8" t="s">
        <v>464</v>
      </c>
      <c r="F163" s="8" t="s">
        <v>344</v>
      </c>
      <c r="G163" s="9" t="s">
        <v>454</v>
      </c>
      <c r="H163" s="10" t="s">
        <v>454</v>
      </c>
      <c r="I163" s="10" t="s">
        <v>454</v>
      </c>
      <c r="J163" s="10" t="s">
        <v>455</v>
      </c>
      <c r="K163" s="11">
        <v>1</v>
      </c>
      <c r="L163" s="11"/>
      <c r="M163" s="7" t="s">
        <v>727</v>
      </c>
      <c r="O163" s="4">
        <f t="shared" si="2"/>
        <v>0</v>
      </c>
    </row>
    <row r="164" spans="1:15" ht="43.5" x14ac:dyDescent="0.35">
      <c r="A164" s="7">
        <v>162</v>
      </c>
      <c r="B164" s="8" t="s">
        <v>197</v>
      </c>
      <c r="C164" s="8" t="s">
        <v>9</v>
      </c>
      <c r="D164" s="8" t="s">
        <v>563</v>
      </c>
      <c r="E164" s="8" t="s">
        <v>464</v>
      </c>
      <c r="F164" s="8" t="s">
        <v>344</v>
      </c>
      <c r="G164" s="9" t="s">
        <v>454</v>
      </c>
      <c r="H164" s="10" t="s">
        <v>454</v>
      </c>
      <c r="I164" s="10" t="s">
        <v>454</v>
      </c>
      <c r="J164" s="10" t="s">
        <v>455</v>
      </c>
      <c r="K164" s="11">
        <v>1</v>
      </c>
      <c r="L164" s="11"/>
      <c r="M164" s="7" t="s">
        <v>727</v>
      </c>
      <c r="O164" s="4">
        <f t="shared" si="2"/>
        <v>0</v>
      </c>
    </row>
    <row r="165" spans="1:15" ht="43.5" x14ac:dyDescent="0.35">
      <c r="A165" s="7">
        <v>163</v>
      </c>
      <c r="B165" s="8" t="s">
        <v>198</v>
      </c>
      <c r="C165" s="8" t="s">
        <v>9</v>
      </c>
      <c r="D165" s="8" t="s">
        <v>563</v>
      </c>
      <c r="E165" s="8" t="s">
        <v>464</v>
      </c>
      <c r="F165" s="8" t="s">
        <v>344</v>
      </c>
      <c r="G165" s="9" t="s">
        <v>454</v>
      </c>
      <c r="H165" s="10" t="s">
        <v>454</v>
      </c>
      <c r="I165" s="10" t="s">
        <v>454</v>
      </c>
      <c r="J165" s="10" t="s">
        <v>455</v>
      </c>
      <c r="K165" s="11">
        <v>1</v>
      </c>
      <c r="L165" s="11"/>
      <c r="M165" s="7" t="s">
        <v>727</v>
      </c>
      <c r="O165" s="4">
        <f t="shared" si="2"/>
        <v>0</v>
      </c>
    </row>
    <row r="166" spans="1:15" ht="43.5" x14ac:dyDescent="0.35">
      <c r="A166" s="7">
        <v>164</v>
      </c>
      <c r="B166" s="8" t="s">
        <v>199</v>
      </c>
      <c r="C166" s="8" t="s">
        <v>9</v>
      </c>
      <c r="D166" s="8" t="s">
        <v>563</v>
      </c>
      <c r="E166" s="8" t="s">
        <v>464</v>
      </c>
      <c r="F166" s="8" t="s">
        <v>344</v>
      </c>
      <c r="G166" s="9" t="s">
        <v>454</v>
      </c>
      <c r="H166" s="10" t="s">
        <v>454</v>
      </c>
      <c r="I166" s="10" t="s">
        <v>454</v>
      </c>
      <c r="J166" s="10" t="s">
        <v>455</v>
      </c>
      <c r="K166" s="11">
        <v>1</v>
      </c>
      <c r="L166" s="11"/>
      <c r="M166" s="7" t="s">
        <v>727</v>
      </c>
      <c r="O166" s="4">
        <f t="shared" si="2"/>
        <v>0</v>
      </c>
    </row>
    <row r="167" spans="1:15" ht="43.5" x14ac:dyDescent="0.35">
      <c r="A167" s="7">
        <v>165</v>
      </c>
      <c r="B167" s="8" t="s">
        <v>200</v>
      </c>
      <c r="C167" s="8" t="s">
        <v>9</v>
      </c>
      <c r="D167" s="8" t="s">
        <v>563</v>
      </c>
      <c r="E167" s="8" t="s">
        <v>352</v>
      </c>
      <c r="F167" s="8" t="s">
        <v>628</v>
      </c>
      <c r="G167" s="9" t="s">
        <v>454</v>
      </c>
      <c r="H167" s="10" t="s">
        <v>454</v>
      </c>
      <c r="I167" s="10" t="s">
        <v>454</v>
      </c>
      <c r="J167" s="10" t="s">
        <v>455</v>
      </c>
      <c r="K167" s="11">
        <v>1</v>
      </c>
      <c r="L167" s="11"/>
      <c r="M167" s="7" t="s">
        <v>727</v>
      </c>
      <c r="O167" s="4">
        <f t="shared" si="2"/>
        <v>0</v>
      </c>
    </row>
    <row r="168" spans="1:15" ht="43.5" x14ac:dyDescent="0.35">
      <c r="A168" s="7">
        <v>166</v>
      </c>
      <c r="B168" s="8" t="s">
        <v>201</v>
      </c>
      <c r="C168" s="8" t="s">
        <v>9</v>
      </c>
      <c r="D168" s="8" t="s">
        <v>563</v>
      </c>
      <c r="E168" s="8" t="s">
        <v>352</v>
      </c>
      <c r="F168" s="8" t="s">
        <v>629</v>
      </c>
      <c r="G168" s="9" t="s">
        <v>454</v>
      </c>
      <c r="H168" s="10" t="s">
        <v>454</v>
      </c>
      <c r="I168" s="10" t="s">
        <v>454</v>
      </c>
      <c r="J168" s="10" t="s">
        <v>455</v>
      </c>
      <c r="K168" s="11">
        <v>1</v>
      </c>
      <c r="L168" s="11"/>
      <c r="M168" s="7" t="s">
        <v>727</v>
      </c>
      <c r="O168" s="4">
        <f t="shared" si="2"/>
        <v>0</v>
      </c>
    </row>
    <row r="169" spans="1:15" ht="43.5" x14ac:dyDescent="0.35">
      <c r="A169" s="7">
        <v>167</v>
      </c>
      <c r="B169" s="8" t="s">
        <v>202</v>
      </c>
      <c r="C169" s="8" t="s">
        <v>63</v>
      </c>
      <c r="D169" s="8" t="s">
        <v>630</v>
      </c>
      <c r="E169" s="8" t="s">
        <v>352</v>
      </c>
      <c r="F169" s="8" t="s">
        <v>476</v>
      </c>
      <c r="G169" s="9" t="s">
        <v>454</v>
      </c>
      <c r="H169" s="10" t="s">
        <v>454</v>
      </c>
      <c r="I169" s="10" t="s">
        <v>454</v>
      </c>
      <c r="J169" s="10" t="s">
        <v>454</v>
      </c>
      <c r="K169" s="11">
        <v>1</v>
      </c>
      <c r="L169" s="11"/>
      <c r="M169" s="7" t="s">
        <v>727</v>
      </c>
      <c r="O169" s="4">
        <f t="shared" si="2"/>
        <v>1</v>
      </c>
    </row>
    <row r="170" spans="1:15" ht="43.5" x14ac:dyDescent="0.35">
      <c r="A170" s="7">
        <v>168</v>
      </c>
      <c r="B170" s="8" t="s">
        <v>203</v>
      </c>
      <c r="C170" s="8" t="s">
        <v>178</v>
      </c>
      <c r="D170" s="8" t="s">
        <v>630</v>
      </c>
      <c r="E170" s="8" t="s">
        <v>374</v>
      </c>
      <c r="F170" s="8" t="s">
        <v>631</v>
      </c>
      <c r="G170" s="9" t="s">
        <v>454</v>
      </c>
      <c r="H170" s="10" t="s">
        <v>454</v>
      </c>
      <c r="I170" s="10" t="s">
        <v>454</v>
      </c>
      <c r="J170" s="10" t="s">
        <v>454</v>
      </c>
      <c r="K170" s="11">
        <v>1</v>
      </c>
      <c r="L170" s="11"/>
      <c r="M170" s="7" t="s">
        <v>727</v>
      </c>
      <c r="O170" s="4">
        <f t="shared" si="2"/>
        <v>1</v>
      </c>
    </row>
    <row r="171" spans="1:15" ht="43.5" x14ac:dyDescent="0.35">
      <c r="A171" s="7">
        <v>169</v>
      </c>
      <c r="B171" s="8" t="s">
        <v>204</v>
      </c>
      <c r="C171" s="8" t="s">
        <v>63</v>
      </c>
      <c r="D171" s="8" t="s">
        <v>630</v>
      </c>
      <c r="E171" s="8" t="s">
        <v>632</v>
      </c>
      <c r="F171" s="8" t="s">
        <v>633</v>
      </c>
      <c r="G171" s="9" t="s">
        <v>454</v>
      </c>
      <c r="H171" s="10" t="s">
        <v>454</v>
      </c>
      <c r="I171" s="10" t="s">
        <v>454</v>
      </c>
      <c r="J171" s="10" t="s">
        <v>454</v>
      </c>
      <c r="K171" s="11">
        <v>1</v>
      </c>
      <c r="L171" s="11"/>
      <c r="M171" s="7" t="s">
        <v>727</v>
      </c>
      <c r="O171" s="4">
        <f t="shared" si="2"/>
        <v>1</v>
      </c>
    </row>
    <row r="172" spans="1:15" ht="72.5" x14ac:dyDescent="0.35">
      <c r="A172" s="7">
        <v>170</v>
      </c>
      <c r="B172" s="8" t="s">
        <v>205</v>
      </c>
      <c r="C172" s="8" t="s">
        <v>63</v>
      </c>
      <c r="D172" s="8" t="s">
        <v>630</v>
      </c>
      <c r="E172" s="8" t="s">
        <v>361</v>
      </c>
      <c r="F172" s="8" t="s">
        <v>634</v>
      </c>
      <c r="G172" s="9" t="s">
        <v>454</v>
      </c>
      <c r="H172" s="10" t="s">
        <v>454</v>
      </c>
      <c r="I172" s="10" t="s">
        <v>454</v>
      </c>
      <c r="J172" s="10" t="s">
        <v>454</v>
      </c>
      <c r="K172" s="11">
        <v>1</v>
      </c>
      <c r="L172" s="11"/>
      <c r="M172" s="7" t="s">
        <v>727</v>
      </c>
      <c r="O172" s="4">
        <f t="shared" si="2"/>
        <v>1</v>
      </c>
    </row>
    <row r="173" spans="1:15" ht="43.5" x14ac:dyDescent="0.35">
      <c r="A173" s="7">
        <v>171</v>
      </c>
      <c r="B173" s="8" t="s">
        <v>206</v>
      </c>
      <c r="C173" s="8" t="s">
        <v>63</v>
      </c>
      <c r="D173" s="8" t="s">
        <v>630</v>
      </c>
      <c r="E173" s="8" t="s">
        <v>441</v>
      </c>
      <c r="F173" s="8" t="s">
        <v>720</v>
      </c>
      <c r="G173" s="9" t="s">
        <v>454</v>
      </c>
      <c r="H173" s="10" t="s">
        <v>454</v>
      </c>
      <c r="I173" s="10" t="s">
        <v>454</v>
      </c>
      <c r="J173" s="10" t="s">
        <v>454</v>
      </c>
      <c r="K173" s="11">
        <v>1</v>
      </c>
      <c r="L173" s="11"/>
      <c r="M173" s="7" t="s">
        <v>727</v>
      </c>
      <c r="O173" s="4">
        <f t="shared" si="2"/>
        <v>1</v>
      </c>
    </row>
    <row r="174" spans="1:15" ht="58" x14ac:dyDescent="0.35">
      <c r="A174" s="7">
        <v>172</v>
      </c>
      <c r="B174" s="8" t="s">
        <v>207</v>
      </c>
      <c r="C174" s="8" t="s">
        <v>63</v>
      </c>
      <c r="D174" s="8" t="s">
        <v>630</v>
      </c>
      <c r="E174" s="8" t="s">
        <v>635</v>
      </c>
      <c r="F174" s="8" t="s">
        <v>636</v>
      </c>
      <c r="G174" s="9" t="s">
        <v>454</v>
      </c>
      <c r="H174" s="10" t="s">
        <v>454</v>
      </c>
      <c r="I174" s="10" t="s">
        <v>454</v>
      </c>
      <c r="J174" s="10" t="s">
        <v>454</v>
      </c>
      <c r="K174" s="11">
        <v>1</v>
      </c>
      <c r="L174" s="11"/>
      <c r="M174" s="7" t="s">
        <v>727</v>
      </c>
      <c r="O174" s="4">
        <f t="shared" si="2"/>
        <v>1</v>
      </c>
    </row>
    <row r="175" spans="1:15" ht="43.5" x14ac:dyDescent="0.35">
      <c r="A175" s="7">
        <v>173</v>
      </c>
      <c r="B175" s="8" t="s">
        <v>208</v>
      </c>
      <c r="C175" s="8" t="s">
        <v>63</v>
      </c>
      <c r="D175" s="8" t="s">
        <v>630</v>
      </c>
      <c r="E175" s="8" t="s">
        <v>469</v>
      </c>
      <c r="F175" s="8" t="s">
        <v>637</v>
      </c>
      <c r="G175" s="9" t="s">
        <v>454</v>
      </c>
      <c r="H175" s="10" t="s">
        <v>454</v>
      </c>
      <c r="I175" s="10" t="s">
        <v>454</v>
      </c>
      <c r="J175" s="10" t="s">
        <v>454</v>
      </c>
      <c r="K175" s="11">
        <v>1</v>
      </c>
      <c r="L175" s="11"/>
      <c r="M175" s="7" t="s">
        <v>727</v>
      </c>
      <c r="O175" s="4">
        <f t="shared" si="2"/>
        <v>1</v>
      </c>
    </row>
    <row r="176" spans="1:15" ht="72.5" x14ac:dyDescent="0.35">
      <c r="A176" s="7">
        <v>174</v>
      </c>
      <c r="B176" s="8" t="s">
        <v>209</v>
      </c>
      <c r="C176" s="8" t="s">
        <v>63</v>
      </c>
      <c r="D176" s="8" t="s">
        <v>630</v>
      </c>
      <c r="E176" s="8" t="s">
        <v>638</v>
      </c>
      <c r="F176" s="8" t="s">
        <v>639</v>
      </c>
      <c r="G176" s="9" t="s">
        <v>454</v>
      </c>
      <c r="H176" s="10" t="s">
        <v>454</v>
      </c>
      <c r="I176" s="10" t="s">
        <v>454</v>
      </c>
      <c r="J176" s="10" t="s">
        <v>454</v>
      </c>
      <c r="K176" s="11">
        <v>1</v>
      </c>
      <c r="L176" s="11"/>
      <c r="M176" s="7" t="s">
        <v>727</v>
      </c>
      <c r="O176" s="4">
        <f t="shared" si="2"/>
        <v>1</v>
      </c>
    </row>
    <row r="177" spans="1:15" ht="72.5" x14ac:dyDescent="0.35">
      <c r="A177" s="7">
        <v>175</v>
      </c>
      <c r="B177" s="8" t="s">
        <v>210</v>
      </c>
      <c r="C177" s="8" t="s">
        <v>63</v>
      </c>
      <c r="D177" s="8" t="s">
        <v>630</v>
      </c>
      <c r="E177" s="8" t="s">
        <v>582</v>
      </c>
      <c r="F177" s="8" t="s">
        <v>640</v>
      </c>
      <c r="G177" s="9" t="s">
        <v>454</v>
      </c>
      <c r="H177" s="10" t="s">
        <v>454</v>
      </c>
      <c r="I177" s="10" t="s">
        <v>454</v>
      </c>
      <c r="J177" s="10" t="s">
        <v>454</v>
      </c>
      <c r="K177" s="11">
        <v>1</v>
      </c>
      <c r="L177" s="11"/>
      <c r="M177" s="7" t="s">
        <v>727</v>
      </c>
      <c r="O177" s="4">
        <f t="shared" si="2"/>
        <v>1</v>
      </c>
    </row>
    <row r="178" spans="1:15" ht="43.5" x14ac:dyDescent="0.35">
      <c r="A178" s="7">
        <v>176</v>
      </c>
      <c r="B178" s="8" t="s">
        <v>211</v>
      </c>
      <c r="C178" s="8" t="s">
        <v>63</v>
      </c>
      <c r="D178" s="8" t="s">
        <v>630</v>
      </c>
      <c r="E178" s="8" t="s">
        <v>386</v>
      </c>
      <c r="F178" s="8" t="s">
        <v>524</v>
      </c>
      <c r="G178" s="9" t="s">
        <v>454</v>
      </c>
      <c r="H178" s="10" t="s">
        <v>454</v>
      </c>
      <c r="I178" s="10" t="s">
        <v>454</v>
      </c>
      <c r="J178" s="10" t="s">
        <v>454</v>
      </c>
      <c r="K178" s="11">
        <v>1</v>
      </c>
      <c r="L178" s="11"/>
      <c r="M178" s="7" t="s">
        <v>727</v>
      </c>
      <c r="O178" s="4">
        <f t="shared" si="2"/>
        <v>1</v>
      </c>
    </row>
    <row r="179" spans="1:15" ht="43.5" x14ac:dyDescent="0.35">
      <c r="A179" s="7">
        <v>177</v>
      </c>
      <c r="B179" s="8" t="s">
        <v>212</v>
      </c>
      <c r="C179" s="8" t="s">
        <v>63</v>
      </c>
      <c r="D179" s="8" t="s">
        <v>630</v>
      </c>
      <c r="E179" s="8" t="s">
        <v>386</v>
      </c>
      <c r="F179" s="8" t="s">
        <v>474</v>
      </c>
      <c r="G179" s="9" t="s">
        <v>454</v>
      </c>
      <c r="H179" s="10" t="s">
        <v>454</v>
      </c>
      <c r="I179" s="10" t="s">
        <v>454</v>
      </c>
      <c r="J179" s="10" t="s">
        <v>454</v>
      </c>
      <c r="K179" s="11">
        <v>1</v>
      </c>
      <c r="L179" s="11"/>
      <c r="M179" s="7" t="s">
        <v>727</v>
      </c>
      <c r="O179" s="4">
        <f t="shared" si="2"/>
        <v>1</v>
      </c>
    </row>
    <row r="180" spans="1:15" ht="43.5" x14ac:dyDescent="0.35">
      <c r="A180" s="7">
        <v>178</v>
      </c>
      <c r="B180" s="8" t="s">
        <v>213</v>
      </c>
      <c r="C180" s="8" t="s">
        <v>63</v>
      </c>
      <c r="D180" s="8" t="s">
        <v>630</v>
      </c>
      <c r="E180" s="8" t="s">
        <v>582</v>
      </c>
      <c r="F180" s="8" t="s">
        <v>641</v>
      </c>
      <c r="G180" s="9" t="s">
        <v>454</v>
      </c>
      <c r="H180" s="10" t="s">
        <v>454</v>
      </c>
      <c r="I180" s="10" t="s">
        <v>454</v>
      </c>
      <c r="J180" s="10" t="s">
        <v>454</v>
      </c>
      <c r="K180" s="11">
        <v>1</v>
      </c>
      <c r="L180" s="11"/>
      <c r="M180" s="7" t="s">
        <v>727</v>
      </c>
      <c r="O180" s="4">
        <f t="shared" si="2"/>
        <v>1</v>
      </c>
    </row>
    <row r="181" spans="1:15" ht="43.5" x14ac:dyDescent="0.35">
      <c r="A181" s="7">
        <v>179</v>
      </c>
      <c r="B181" s="8" t="s">
        <v>214</v>
      </c>
      <c r="C181" s="8" t="s">
        <v>24</v>
      </c>
      <c r="D181" s="8" t="s">
        <v>630</v>
      </c>
      <c r="E181" s="8" t="s">
        <v>464</v>
      </c>
      <c r="F181" s="8" t="s">
        <v>344</v>
      </c>
      <c r="G181" s="9" t="s">
        <v>454</v>
      </c>
      <c r="H181" s="10" t="s">
        <v>454</v>
      </c>
      <c r="I181" s="10" t="s">
        <v>454</v>
      </c>
      <c r="J181" s="10" t="s">
        <v>454</v>
      </c>
      <c r="K181" s="11">
        <v>1</v>
      </c>
      <c r="L181" s="11"/>
      <c r="M181" s="7" t="s">
        <v>727</v>
      </c>
      <c r="O181" s="4">
        <f t="shared" si="2"/>
        <v>1</v>
      </c>
    </row>
    <row r="182" spans="1:15" ht="43.5" x14ac:dyDescent="0.35">
      <c r="A182" s="7">
        <v>180</v>
      </c>
      <c r="B182" s="8" t="s">
        <v>215</v>
      </c>
      <c r="C182" s="8" t="s">
        <v>24</v>
      </c>
      <c r="D182" s="8" t="s">
        <v>630</v>
      </c>
      <c r="E182" s="8" t="s">
        <v>464</v>
      </c>
      <c r="F182" s="8" t="s">
        <v>344</v>
      </c>
      <c r="G182" s="9" t="s">
        <v>454</v>
      </c>
      <c r="H182" s="10" t="s">
        <v>454</v>
      </c>
      <c r="I182" s="10" t="s">
        <v>454</v>
      </c>
      <c r="J182" s="10" t="s">
        <v>454</v>
      </c>
      <c r="K182" s="11">
        <v>1</v>
      </c>
      <c r="L182" s="11"/>
      <c r="M182" s="7" t="s">
        <v>727</v>
      </c>
      <c r="O182" s="4">
        <f t="shared" si="2"/>
        <v>1</v>
      </c>
    </row>
    <row r="183" spans="1:15" ht="43.5" x14ac:dyDescent="0.35">
      <c r="A183" s="7">
        <v>181</v>
      </c>
      <c r="B183" s="8" t="s">
        <v>216</v>
      </c>
      <c r="C183" s="8" t="s">
        <v>63</v>
      </c>
      <c r="D183" s="8" t="s">
        <v>630</v>
      </c>
      <c r="E183" s="8" t="s">
        <v>642</v>
      </c>
      <c r="F183" s="8" t="s">
        <v>344</v>
      </c>
      <c r="G183" s="9" t="s">
        <v>454</v>
      </c>
      <c r="H183" s="10" t="s">
        <v>454</v>
      </c>
      <c r="I183" s="10" t="s">
        <v>454</v>
      </c>
      <c r="J183" s="10" t="s">
        <v>454</v>
      </c>
      <c r="K183" s="11">
        <v>1</v>
      </c>
      <c r="L183" s="11"/>
      <c r="M183" s="7" t="s">
        <v>727</v>
      </c>
      <c r="O183" s="4">
        <f t="shared" si="2"/>
        <v>1</v>
      </c>
    </row>
    <row r="184" spans="1:15" ht="43.5" x14ac:dyDescent="0.35">
      <c r="A184" s="7">
        <v>182</v>
      </c>
      <c r="B184" s="8" t="s">
        <v>217</v>
      </c>
      <c r="C184" s="8" t="s">
        <v>218</v>
      </c>
      <c r="D184" s="8" t="s">
        <v>643</v>
      </c>
      <c r="E184" s="8" t="s">
        <v>398</v>
      </c>
      <c r="F184" s="8" t="s">
        <v>484</v>
      </c>
      <c r="G184" s="9" t="s">
        <v>454</v>
      </c>
      <c r="H184" s="10" t="s">
        <v>454</v>
      </c>
      <c r="I184" s="10" t="s">
        <v>454</v>
      </c>
      <c r="J184" s="10" t="s">
        <v>455</v>
      </c>
      <c r="K184" s="11">
        <v>1</v>
      </c>
      <c r="L184" s="11"/>
      <c r="M184" s="7" t="s">
        <v>727</v>
      </c>
      <c r="O184" s="4">
        <f t="shared" si="2"/>
        <v>0</v>
      </c>
    </row>
    <row r="185" spans="1:15" ht="43.5" x14ac:dyDescent="0.35">
      <c r="A185" s="7">
        <v>183</v>
      </c>
      <c r="B185" s="8" t="s">
        <v>219</v>
      </c>
      <c r="C185" s="8" t="s">
        <v>220</v>
      </c>
      <c r="D185" s="8" t="s">
        <v>643</v>
      </c>
      <c r="E185" s="8" t="s">
        <v>464</v>
      </c>
      <c r="F185" s="8" t="s">
        <v>344</v>
      </c>
      <c r="G185" s="9" t="s">
        <v>454</v>
      </c>
      <c r="H185" s="10" t="s">
        <v>454</v>
      </c>
      <c r="I185" s="10" t="s">
        <v>454</v>
      </c>
      <c r="J185" s="10" t="s">
        <v>454</v>
      </c>
      <c r="K185" s="11">
        <v>1</v>
      </c>
      <c r="L185" s="11"/>
      <c r="M185" s="7" t="s">
        <v>727</v>
      </c>
      <c r="O185" s="4">
        <f t="shared" si="2"/>
        <v>1</v>
      </c>
    </row>
    <row r="186" spans="1:15" ht="43.5" x14ac:dyDescent="0.35">
      <c r="A186" s="7">
        <v>184</v>
      </c>
      <c r="B186" s="8" t="s">
        <v>221</v>
      </c>
      <c r="C186" s="8" t="s">
        <v>72</v>
      </c>
      <c r="D186" s="8" t="s">
        <v>643</v>
      </c>
      <c r="E186" s="8" t="s">
        <v>354</v>
      </c>
      <c r="F186" s="8" t="s">
        <v>644</v>
      </c>
      <c r="G186" s="9" t="s">
        <v>454</v>
      </c>
      <c r="H186" s="10" t="s">
        <v>454</v>
      </c>
      <c r="I186" s="10" t="s">
        <v>454</v>
      </c>
      <c r="J186" s="10" t="s">
        <v>454</v>
      </c>
      <c r="K186" s="11">
        <v>1</v>
      </c>
      <c r="L186" s="11"/>
      <c r="M186" s="7" t="s">
        <v>727</v>
      </c>
      <c r="O186" s="4">
        <f t="shared" si="2"/>
        <v>1</v>
      </c>
    </row>
    <row r="187" spans="1:15" ht="72.5" x14ac:dyDescent="0.35">
      <c r="A187" s="7">
        <v>185</v>
      </c>
      <c r="B187" s="8" t="s">
        <v>222</v>
      </c>
      <c r="C187" s="8" t="s">
        <v>223</v>
      </c>
      <c r="D187" s="8" t="s">
        <v>643</v>
      </c>
      <c r="E187" s="8" t="s">
        <v>645</v>
      </c>
      <c r="F187" s="8" t="s">
        <v>646</v>
      </c>
      <c r="G187" s="9" t="s">
        <v>454</v>
      </c>
      <c r="H187" s="10" t="s">
        <v>454</v>
      </c>
      <c r="I187" s="10" t="s">
        <v>454</v>
      </c>
      <c r="J187" s="10" t="s">
        <v>455</v>
      </c>
      <c r="K187" s="11">
        <v>1</v>
      </c>
      <c r="L187" s="11"/>
      <c r="M187" s="7" t="s">
        <v>727</v>
      </c>
      <c r="O187" s="4">
        <f t="shared" si="2"/>
        <v>0</v>
      </c>
    </row>
    <row r="188" spans="1:15" ht="43.5" x14ac:dyDescent="0.35">
      <c r="A188" s="7">
        <v>186</v>
      </c>
      <c r="B188" s="8" t="s">
        <v>224</v>
      </c>
      <c r="C188" s="8" t="s">
        <v>220</v>
      </c>
      <c r="D188" s="8" t="s">
        <v>643</v>
      </c>
      <c r="E188" s="8" t="s">
        <v>647</v>
      </c>
      <c r="F188" s="8" t="s">
        <v>648</v>
      </c>
      <c r="G188" s="9" t="s">
        <v>454</v>
      </c>
      <c r="H188" s="10" t="s">
        <v>454</v>
      </c>
      <c r="I188" s="10" t="s">
        <v>454</v>
      </c>
      <c r="J188" s="10" t="s">
        <v>454</v>
      </c>
      <c r="K188" s="11">
        <v>1</v>
      </c>
      <c r="L188" s="11"/>
      <c r="M188" s="7" t="s">
        <v>727</v>
      </c>
      <c r="O188" s="4">
        <f t="shared" si="2"/>
        <v>1</v>
      </c>
    </row>
    <row r="189" spans="1:15" ht="43.5" x14ac:dyDescent="0.35">
      <c r="A189" s="7">
        <v>187</v>
      </c>
      <c r="B189" s="8" t="s">
        <v>225</v>
      </c>
      <c r="C189" s="8" t="s">
        <v>226</v>
      </c>
      <c r="D189" s="8" t="s">
        <v>643</v>
      </c>
      <c r="E189" s="8" t="s">
        <v>649</v>
      </c>
      <c r="F189" s="8" t="s">
        <v>344</v>
      </c>
      <c r="G189" s="9" t="s">
        <v>454</v>
      </c>
      <c r="H189" s="10" t="s">
        <v>454</v>
      </c>
      <c r="I189" s="10" t="s">
        <v>454</v>
      </c>
      <c r="J189" s="10" t="s">
        <v>455</v>
      </c>
      <c r="K189" s="11">
        <v>1</v>
      </c>
      <c r="L189" s="11"/>
      <c r="M189" s="7" t="s">
        <v>727</v>
      </c>
      <c r="O189" s="4">
        <f t="shared" si="2"/>
        <v>0</v>
      </c>
    </row>
    <row r="190" spans="1:15" ht="72.5" x14ac:dyDescent="0.35">
      <c r="A190" s="7">
        <v>188</v>
      </c>
      <c r="B190" s="8" t="s">
        <v>227</v>
      </c>
      <c r="C190" s="8" t="s">
        <v>228</v>
      </c>
      <c r="D190" s="8" t="s">
        <v>643</v>
      </c>
      <c r="E190" s="8" t="s">
        <v>650</v>
      </c>
      <c r="F190" s="8" t="s">
        <v>651</v>
      </c>
      <c r="G190" s="9" t="s">
        <v>454</v>
      </c>
      <c r="H190" s="10" t="s">
        <v>454</v>
      </c>
      <c r="I190" s="10" t="s">
        <v>454</v>
      </c>
      <c r="J190" s="10" t="s">
        <v>455</v>
      </c>
      <c r="K190" s="11">
        <v>1</v>
      </c>
      <c r="L190" s="11"/>
      <c r="M190" s="7" t="s">
        <v>727</v>
      </c>
      <c r="O190" s="4">
        <f t="shared" si="2"/>
        <v>0</v>
      </c>
    </row>
    <row r="191" spans="1:15" ht="116" x14ac:dyDescent="0.35">
      <c r="A191" s="7">
        <v>189</v>
      </c>
      <c r="B191" s="8" t="s">
        <v>229</v>
      </c>
      <c r="C191" s="8" t="s">
        <v>220</v>
      </c>
      <c r="D191" s="8" t="s">
        <v>643</v>
      </c>
      <c r="E191" s="8" t="s">
        <v>441</v>
      </c>
      <c r="F191" s="8" t="s">
        <v>652</v>
      </c>
      <c r="G191" s="9" t="s">
        <v>454</v>
      </c>
      <c r="H191" s="10" t="s">
        <v>454</v>
      </c>
      <c r="I191" s="10" t="s">
        <v>454</v>
      </c>
      <c r="J191" s="10" t="s">
        <v>455</v>
      </c>
      <c r="K191" s="11">
        <v>1</v>
      </c>
      <c r="L191" s="11"/>
      <c r="M191" s="7" t="s">
        <v>727</v>
      </c>
      <c r="O191" s="4">
        <f t="shared" si="2"/>
        <v>0</v>
      </c>
    </row>
    <row r="192" spans="1:15" ht="43.5" x14ac:dyDescent="0.35">
      <c r="A192" s="7">
        <v>190</v>
      </c>
      <c r="B192" s="8" t="s">
        <v>230</v>
      </c>
      <c r="C192" s="8" t="s">
        <v>220</v>
      </c>
      <c r="D192" s="8" t="s">
        <v>643</v>
      </c>
      <c r="E192" s="8" t="s">
        <v>369</v>
      </c>
      <c r="F192" s="8" t="s">
        <v>653</v>
      </c>
      <c r="G192" s="9" t="s">
        <v>454</v>
      </c>
      <c r="H192" s="10" t="s">
        <v>454</v>
      </c>
      <c r="I192" s="10" t="s">
        <v>454</v>
      </c>
      <c r="J192" s="10" t="s">
        <v>454</v>
      </c>
      <c r="K192" s="11">
        <v>1</v>
      </c>
      <c r="L192" s="11"/>
      <c r="M192" s="7" t="s">
        <v>727</v>
      </c>
      <c r="O192" s="4">
        <f t="shared" si="2"/>
        <v>1</v>
      </c>
    </row>
    <row r="193" spans="1:15" ht="43.5" x14ac:dyDescent="0.35">
      <c r="A193" s="7">
        <v>191</v>
      </c>
      <c r="B193" s="8" t="s">
        <v>231</v>
      </c>
      <c r="C193" s="8" t="s">
        <v>220</v>
      </c>
      <c r="D193" s="8" t="s">
        <v>643</v>
      </c>
      <c r="E193" s="8" t="s">
        <v>426</v>
      </c>
      <c r="F193" s="8" t="s">
        <v>654</v>
      </c>
      <c r="G193" s="9" t="s">
        <v>454</v>
      </c>
      <c r="H193" s="10" t="s">
        <v>454</v>
      </c>
      <c r="I193" s="10" t="s">
        <v>454</v>
      </c>
      <c r="J193" s="10" t="s">
        <v>455</v>
      </c>
      <c r="K193" s="11">
        <v>1</v>
      </c>
      <c r="L193" s="11"/>
      <c r="M193" s="7" t="s">
        <v>727</v>
      </c>
      <c r="O193" s="4">
        <f t="shared" si="2"/>
        <v>0</v>
      </c>
    </row>
    <row r="194" spans="1:15" ht="43.5" x14ac:dyDescent="0.35">
      <c r="A194" s="7">
        <v>192</v>
      </c>
      <c r="B194" s="8" t="s">
        <v>232</v>
      </c>
      <c r="C194" s="8" t="s">
        <v>233</v>
      </c>
      <c r="D194" s="8" t="s">
        <v>643</v>
      </c>
      <c r="E194" s="8" t="s">
        <v>384</v>
      </c>
      <c r="F194" s="8" t="s">
        <v>555</v>
      </c>
      <c r="G194" s="9" t="s">
        <v>454</v>
      </c>
      <c r="H194" s="10" t="s">
        <v>454</v>
      </c>
      <c r="I194" s="10" t="s">
        <v>454</v>
      </c>
      <c r="J194" s="10" t="s">
        <v>455</v>
      </c>
      <c r="K194" s="11">
        <v>1</v>
      </c>
      <c r="L194" s="11"/>
      <c r="M194" s="7" t="s">
        <v>727</v>
      </c>
      <c r="O194" s="4">
        <f t="shared" si="2"/>
        <v>0</v>
      </c>
    </row>
    <row r="195" spans="1:15" ht="58" x14ac:dyDescent="0.35">
      <c r="A195" s="7">
        <v>193</v>
      </c>
      <c r="B195" s="8" t="s">
        <v>234</v>
      </c>
      <c r="C195" s="8" t="s">
        <v>235</v>
      </c>
      <c r="D195" s="8" t="s">
        <v>643</v>
      </c>
      <c r="E195" s="8" t="s">
        <v>556</v>
      </c>
      <c r="F195" s="8" t="s">
        <v>655</v>
      </c>
      <c r="G195" s="9" t="s">
        <v>454</v>
      </c>
      <c r="H195" s="10" t="s">
        <v>454</v>
      </c>
      <c r="I195" s="10" t="s">
        <v>454</v>
      </c>
      <c r="J195" s="10" t="s">
        <v>454</v>
      </c>
      <c r="K195" s="11">
        <v>1</v>
      </c>
      <c r="L195" s="11"/>
      <c r="M195" s="7" t="s">
        <v>727</v>
      </c>
      <c r="O195" s="4">
        <f t="shared" si="2"/>
        <v>1</v>
      </c>
    </row>
    <row r="196" spans="1:15" ht="43.5" x14ac:dyDescent="0.35">
      <c r="A196" s="7">
        <v>194</v>
      </c>
      <c r="B196" s="8" t="s">
        <v>236</v>
      </c>
      <c r="C196" s="8" t="s">
        <v>9</v>
      </c>
      <c r="D196" s="8" t="s">
        <v>643</v>
      </c>
      <c r="E196" s="8" t="s">
        <v>556</v>
      </c>
      <c r="F196" s="8" t="s">
        <v>656</v>
      </c>
      <c r="G196" s="9" t="s">
        <v>454</v>
      </c>
      <c r="H196" s="10" t="s">
        <v>454</v>
      </c>
      <c r="I196" s="10" t="s">
        <v>454</v>
      </c>
      <c r="J196" s="10" t="s">
        <v>455</v>
      </c>
      <c r="K196" s="11">
        <v>1</v>
      </c>
      <c r="L196" s="11"/>
      <c r="M196" s="7" t="s">
        <v>727</v>
      </c>
      <c r="O196" s="4">
        <f t="shared" si="2"/>
        <v>0</v>
      </c>
    </row>
    <row r="197" spans="1:15" ht="43.5" x14ac:dyDescent="0.35">
      <c r="A197" s="7">
        <v>195</v>
      </c>
      <c r="B197" s="8" t="s">
        <v>237</v>
      </c>
      <c r="C197" s="8" t="s">
        <v>24</v>
      </c>
      <c r="D197" s="8" t="s">
        <v>643</v>
      </c>
      <c r="E197" s="8" t="s">
        <v>464</v>
      </c>
      <c r="F197" s="8" t="s">
        <v>344</v>
      </c>
      <c r="G197" s="9" t="s">
        <v>454</v>
      </c>
      <c r="H197" s="10" t="s">
        <v>454</v>
      </c>
      <c r="I197" s="10" t="s">
        <v>454</v>
      </c>
      <c r="J197" s="10" t="s">
        <v>455</v>
      </c>
      <c r="K197" s="11">
        <v>1</v>
      </c>
      <c r="L197" s="11"/>
      <c r="M197" s="7" t="s">
        <v>727</v>
      </c>
      <c r="O197" s="4">
        <f t="shared" ref="O197:O260" si="3">IF(J197="√",1,0)</f>
        <v>0</v>
      </c>
    </row>
    <row r="198" spans="1:15" ht="43.5" x14ac:dyDescent="0.35">
      <c r="A198" s="7">
        <v>196</v>
      </c>
      <c r="B198" s="8" t="s">
        <v>238</v>
      </c>
      <c r="C198" s="8" t="s">
        <v>24</v>
      </c>
      <c r="D198" s="8" t="s">
        <v>643</v>
      </c>
      <c r="E198" s="8" t="s">
        <v>464</v>
      </c>
      <c r="F198" s="8" t="s">
        <v>344</v>
      </c>
      <c r="G198" s="9" t="s">
        <v>454</v>
      </c>
      <c r="H198" s="10" t="s">
        <v>454</v>
      </c>
      <c r="I198" s="10" t="s">
        <v>454</v>
      </c>
      <c r="J198" s="10" t="s">
        <v>455</v>
      </c>
      <c r="K198" s="11">
        <v>1</v>
      </c>
      <c r="L198" s="11"/>
      <c r="M198" s="7" t="s">
        <v>727</v>
      </c>
      <c r="O198" s="4">
        <f t="shared" si="3"/>
        <v>0</v>
      </c>
    </row>
    <row r="199" spans="1:15" ht="43.5" x14ac:dyDescent="0.35">
      <c r="A199" s="7">
        <v>197</v>
      </c>
      <c r="B199" s="8" t="s">
        <v>239</v>
      </c>
      <c r="C199" s="8" t="s">
        <v>24</v>
      </c>
      <c r="D199" s="8" t="s">
        <v>643</v>
      </c>
      <c r="E199" s="8" t="s">
        <v>464</v>
      </c>
      <c r="F199" s="8" t="s">
        <v>344</v>
      </c>
      <c r="G199" s="9" t="s">
        <v>454</v>
      </c>
      <c r="H199" s="10" t="s">
        <v>454</v>
      </c>
      <c r="I199" s="10" t="s">
        <v>454</v>
      </c>
      <c r="J199" s="10" t="s">
        <v>455</v>
      </c>
      <c r="K199" s="11">
        <v>1</v>
      </c>
      <c r="L199" s="11"/>
      <c r="M199" s="7" t="s">
        <v>727</v>
      </c>
      <c r="O199" s="4">
        <f t="shared" si="3"/>
        <v>0</v>
      </c>
    </row>
    <row r="200" spans="1:15" ht="43.5" x14ac:dyDescent="0.35">
      <c r="A200" s="7">
        <v>198</v>
      </c>
      <c r="B200" s="8" t="s">
        <v>240</v>
      </c>
      <c r="C200" s="8" t="s">
        <v>24</v>
      </c>
      <c r="D200" s="8" t="s">
        <v>643</v>
      </c>
      <c r="E200" s="8" t="s">
        <v>464</v>
      </c>
      <c r="F200" s="8" t="s">
        <v>344</v>
      </c>
      <c r="G200" s="9" t="s">
        <v>454</v>
      </c>
      <c r="H200" s="10" t="s">
        <v>454</v>
      </c>
      <c r="I200" s="10" t="s">
        <v>454</v>
      </c>
      <c r="J200" s="10" t="s">
        <v>455</v>
      </c>
      <c r="K200" s="11">
        <v>1</v>
      </c>
      <c r="L200" s="11"/>
      <c r="M200" s="7" t="s">
        <v>727</v>
      </c>
      <c r="O200" s="4">
        <f t="shared" si="3"/>
        <v>0</v>
      </c>
    </row>
    <row r="201" spans="1:15" x14ac:dyDescent="0.35">
      <c r="A201" s="7">
        <v>199</v>
      </c>
      <c r="B201" s="8" t="s">
        <v>241</v>
      </c>
      <c r="C201" s="8" t="s">
        <v>48</v>
      </c>
      <c r="D201" s="8" t="s">
        <v>657</v>
      </c>
      <c r="E201" s="8" t="s">
        <v>386</v>
      </c>
      <c r="F201" s="8" t="s">
        <v>552</v>
      </c>
      <c r="G201" s="9" t="s">
        <v>454</v>
      </c>
      <c r="H201" s="10" t="s">
        <v>454</v>
      </c>
      <c r="I201" s="10" t="s">
        <v>454</v>
      </c>
      <c r="J201" s="10" t="s">
        <v>455</v>
      </c>
      <c r="K201" s="11">
        <v>1</v>
      </c>
      <c r="L201" s="11"/>
      <c r="M201" s="7" t="s">
        <v>727</v>
      </c>
      <c r="O201" s="4">
        <f t="shared" si="3"/>
        <v>0</v>
      </c>
    </row>
    <row r="202" spans="1:15" x14ac:dyDescent="0.35">
      <c r="A202" s="7">
        <v>200</v>
      </c>
      <c r="B202" s="8" t="s">
        <v>242</v>
      </c>
      <c r="C202" s="8" t="s">
        <v>48</v>
      </c>
      <c r="D202" s="8" t="s">
        <v>657</v>
      </c>
      <c r="E202" s="8" t="s">
        <v>396</v>
      </c>
      <c r="F202" s="8" t="s">
        <v>658</v>
      </c>
      <c r="G202" s="9" t="s">
        <v>454</v>
      </c>
      <c r="H202" s="10" t="s">
        <v>454</v>
      </c>
      <c r="I202" s="10" t="s">
        <v>454</v>
      </c>
      <c r="J202" s="10" t="s">
        <v>454</v>
      </c>
      <c r="K202" s="11">
        <v>1</v>
      </c>
      <c r="L202" s="11"/>
      <c r="M202" s="7" t="s">
        <v>727</v>
      </c>
      <c r="O202" s="4">
        <f t="shared" si="3"/>
        <v>1</v>
      </c>
    </row>
    <row r="203" spans="1:15" ht="29" x14ac:dyDescent="0.35">
      <c r="A203" s="7">
        <v>201</v>
      </c>
      <c r="B203" s="8" t="s">
        <v>243</v>
      </c>
      <c r="C203" s="8" t="s">
        <v>48</v>
      </c>
      <c r="D203" s="8" t="s">
        <v>657</v>
      </c>
      <c r="E203" s="8" t="s">
        <v>450</v>
      </c>
      <c r="F203" s="8" t="s">
        <v>659</v>
      </c>
      <c r="G203" s="9" t="s">
        <v>454</v>
      </c>
      <c r="H203" s="10" t="s">
        <v>454</v>
      </c>
      <c r="I203" s="10" t="s">
        <v>454</v>
      </c>
      <c r="J203" s="10" t="s">
        <v>455</v>
      </c>
      <c r="K203" s="11">
        <v>1</v>
      </c>
      <c r="L203" s="11"/>
      <c r="M203" s="7" t="s">
        <v>727</v>
      </c>
      <c r="O203" s="4">
        <f t="shared" si="3"/>
        <v>0</v>
      </c>
    </row>
    <row r="204" spans="1:15" ht="43.5" x14ac:dyDescent="0.35">
      <c r="A204" s="7">
        <v>202</v>
      </c>
      <c r="B204" s="8" t="s">
        <v>244</v>
      </c>
      <c r="C204" s="8" t="s">
        <v>58</v>
      </c>
      <c r="D204" s="8" t="s">
        <v>657</v>
      </c>
      <c r="E204" s="8" t="s">
        <v>356</v>
      </c>
      <c r="F204" s="8" t="s">
        <v>660</v>
      </c>
      <c r="G204" s="9" t="s">
        <v>454</v>
      </c>
      <c r="H204" s="10" t="s">
        <v>454</v>
      </c>
      <c r="I204" s="10" t="s">
        <v>454</v>
      </c>
      <c r="J204" s="10" t="s">
        <v>455</v>
      </c>
      <c r="K204" s="11">
        <v>1</v>
      </c>
      <c r="L204" s="11"/>
      <c r="M204" s="7" t="s">
        <v>727</v>
      </c>
      <c r="O204" s="4">
        <f t="shared" si="3"/>
        <v>0</v>
      </c>
    </row>
    <row r="205" spans="1:15" ht="43.5" x14ac:dyDescent="0.35">
      <c r="A205" s="7">
        <v>203</v>
      </c>
      <c r="B205" s="8" t="s">
        <v>245</v>
      </c>
      <c r="C205" s="8" t="s">
        <v>58</v>
      </c>
      <c r="D205" s="8" t="s">
        <v>657</v>
      </c>
      <c r="E205" s="8" t="s">
        <v>356</v>
      </c>
      <c r="F205" s="8" t="s">
        <v>661</v>
      </c>
      <c r="G205" s="9" t="s">
        <v>454</v>
      </c>
      <c r="H205" s="10" t="s">
        <v>454</v>
      </c>
      <c r="I205" s="10" t="s">
        <v>454</v>
      </c>
      <c r="J205" s="10" t="s">
        <v>455</v>
      </c>
      <c r="K205" s="11">
        <v>1</v>
      </c>
      <c r="L205" s="11"/>
      <c r="M205" s="7" t="s">
        <v>727</v>
      </c>
      <c r="O205" s="4">
        <f t="shared" si="3"/>
        <v>0</v>
      </c>
    </row>
    <row r="206" spans="1:15" ht="43.5" x14ac:dyDescent="0.35">
      <c r="A206" s="7">
        <v>204</v>
      </c>
      <c r="B206" s="8" t="s">
        <v>246</v>
      </c>
      <c r="C206" s="8" t="s">
        <v>58</v>
      </c>
      <c r="D206" s="8" t="s">
        <v>657</v>
      </c>
      <c r="E206" s="8" t="s">
        <v>554</v>
      </c>
      <c r="F206" s="8" t="s">
        <v>344</v>
      </c>
      <c r="G206" s="9" t="s">
        <v>454</v>
      </c>
      <c r="H206" s="10" t="s">
        <v>454</v>
      </c>
      <c r="I206" s="10" t="s">
        <v>454</v>
      </c>
      <c r="J206" s="10" t="s">
        <v>455</v>
      </c>
      <c r="K206" s="11">
        <v>1</v>
      </c>
      <c r="L206" s="11"/>
      <c r="M206" s="7" t="s">
        <v>727</v>
      </c>
      <c r="O206" s="4">
        <f t="shared" si="3"/>
        <v>0</v>
      </c>
    </row>
    <row r="207" spans="1:15" ht="43.5" x14ac:dyDescent="0.35">
      <c r="A207" s="7">
        <v>205</v>
      </c>
      <c r="B207" s="8" t="s">
        <v>247</v>
      </c>
      <c r="C207" s="8" t="s">
        <v>48</v>
      </c>
      <c r="D207" s="8" t="s">
        <v>657</v>
      </c>
      <c r="E207" s="8" t="s">
        <v>447</v>
      </c>
      <c r="F207" s="8" t="s">
        <v>344</v>
      </c>
      <c r="G207" s="9" t="s">
        <v>454</v>
      </c>
      <c r="H207" s="10" t="s">
        <v>454</v>
      </c>
      <c r="I207" s="10" t="s">
        <v>454</v>
      </c>
      <c r="J207" s="10" t="s">
        <v>455</v>
      </c>
      <c r="K207" s="11">
        <v>1</v>
      </c>
      <c r="L207" s="11"/>
      <c r="M207" s="7" t="s">
        <v>727</v>
      </c>
      <c r="O207" s="4">
        <f t="shared" si="3"/>
        <v>0</v>
      </c>
    </row>
    <row r="208" spans="1:15" ht="43.5" x14ac:dyDescent="0.35">
      <c r="A208" s="7">
        <v>206</v>
      </c>
      <c r="B208" s="8" t="s">
        <v>248</v>
      </c>
      <c r="C208" s="8" t="s">
        <v>48</v>
      </c>
      <c r="D208" s="8" t="s">
        <v>657</v>
      </c>
      <c r="E208" s="8" t="s">
        <v>384</v>
      </c>
      <c r="F208" s="8" t="s">
        <v>344</v>
      </c>
      <c r="G208" s="9" t="s">
        <v>454</v>
      </c>
      <c r="H208" s="10" t="s">
        <v>454</v>
      </c>
      <c r="I208" s="10" t="s">
        <v>454</v>
      </c>
      <c r="J208" s="10" t="s">
        <v>455</v>
      </c>
      <c r="K208" s="11">
        <v>1</v>
      </c>
      <c r="L208" s="11"/>
      <c r="M208" s="7" t="s">
        <v>727</v>
      </c>
      <c r="O208" s="4">
        <f t="shared" si="3"/>
        <v>0</v>
      </c>
    </row>
    <row r="209" spans="1:15" ht="58" x14ac:dyDescent="0.35">
      <c r="A209" s="7">
        <v>207</v>
      </c>
      <c r="B209" s="8" t="s">
        <v>249</v>
      </c>
      <c r="C209" s="8" t="s">
        <v>48</v>
      </c>
      <c r="D209" s="8" t="s">
        <v>657</v>
      </c>
      <c r="E209" s="8" t="s">
        <v>390</v>
      </c>
      <c r="F209" s="8" t="s">
        <v>344</v>
      </c>
      <c r="G209" s="9" t="s">
        <v>454</v>
      </c>
      <c r="H209" s="10" t="s">
        <v>454</v>
      </c>
      <c r="I209" s="10" t="s">
        <v>454</v>
      </c>
      <c r="J209" s="10" t="s">
        <v>455</v>
      </c>
      <c r="K209" s="11">
        <v>1</v>
      </c>
      <c r="L209" s="11"/>
      <c r="M209" s="7" t="s">
        <v>727</v>
      </c>
      <c r="O209" s="4">
        <f t="shared" si="3"/>
        <v>0</v>
      </c>
    </row>
    <row r="210" spans="1:15" ht="58" x14ac:dyDescent="0.35">
      <c r="A210" s="7">
        <v>208</v>
      </c>
      <c r="B210" s="8" t="s">
        <v>250</v>
      </c>
      <c r="C210" s="8" t="s">
        <v>48</v>
      </c>
      <c r="D210" s="8" t="s">
        <v>657</v>
      </c>
      <c r="E210" s="8" t="s">
        <v>501</v>
      </c>
      <c r="F210" s="8" t="s">
        <v>344</v>
      </c>
      <c r="G210" s="9" t="s">
        <v>454</v>
      </c>
      <c r="H210" s="10" t="s">
        <v>454</v>
      </c>
      <c r="I210" s="10" t="s">
        <v>454</v>
      </c>
      <c r="J210" s="10" t="s">
        <v>455</v>
      </c>
      <c r="K210" s="11">
        <v>1</v>
      </c>
      <c r="L210" s="11"/>
      <c r="M210" s="7" t="s">
        <v>727</v>
      </c>
      <c r="O210" s="4">
        <f t="shared" si="3"/>
        <v>0</v>
      </c>
    </row>
    <row r="211" spans="1:15" ht="72.5" x14ac:dyDescent="0.35">
      <c r="A211" s="7">
        <v>209</v>
      </c>
      <c r="B211" s="8" t="s">
        <v>251</v>
      </c>
      <c r="C211" s="8" t="s">
        <v>48</v>
      </c>
      <c r="D211" s="8" t="s">
        <v>657</v>
      </c>
      <c r="E211" s="8" t="s">
        <v>554</v>
      </c>
      <c r="F211" s="8" t="s">
        <v>344</v>
      </c>
      <c r="G211" s="9" t="s">
        <v>454</v>
      </c>
      <c r="H211" s="10" t="s">
        <v>454</v>
      </c>
      <c r="I211" s="10" t="s">
        <v>454</v>
      </c>
      <c r="J211" s="10" t="s">
        <v>455</v>
      </c>
      <c r="K211" s="11">
        <v>1</v>
      </c>
      <c r="L211" s="11"/>
      <c r="M211" s="7" t="s">
        <v>727</v>
      </c>
      <c r="O211" s="4">
        <f t="shared" si="3"/>
        <v>0</v>
      </c>
    </row>
    <row r="212" spans="1:15" ht="58" x14ac:dyDescent="0.35">
      <c r="A212" s="7">
        <v>210</v>
      </c>
      <c r="B212" s="8" t="s">
        <v>252</v>
      </c>
      <c r="C212" s="8" t="s">
        <v>48</v>
      </c>
      <c r="D212" s="8" t="s">
        <v>657</v>
      </c>
      <c r="E212" s="8" t="s">
        <v>447</v>
      </c>
      <c r="F212" s="8" t="s">
        <v>662</v>
      </c>
      <c r="G212" s="9" t="s">
        <v>454</v>
      </c>
      <c r="H212" s="10" t="s">
        <v>454</v>
      </c>
      <c r="I212" s="10" t="s">
        <v>454</v>
      </c>
      <c r="J212" s="10" t="s">
        <v>455</v>
      </c>
      <c r="K212" s="11">
        <v>1</v>
      </c>
      <c r="L212" s="11"/>
      <c r="M212" s="7" t="s">
        <v>727</v>
      </c>
      <c r="O212" s="4">
        <f t="shared" si="3"/>
        <v>0</v>
      </c>
    </row>
    <row r="213" spans="1:15" ht="87" x14ac:dyDescent="0.35">
      <c r="A213" s="7">
        <v>211</v>
      </c>
      <c r="B213" s="8" t="s">
        <v>253</v>
      </c>
      <c r="C213" s="8" t="s">
        <v>48</v>
      </c>
      <c r="D213" s="8" t="s">
        <v>657</v>
      </c>
      <c r="E213" s="8" t="s">
        <v>441</v>
      </c>
      <c r="F213" s="8" t="s">
        <v>663</v>
      </c>
      <c r="G213" s="9" t="s">
        <v>454</v>
      </c>
      <c r="H213" s="10" t="s">
        <v>454</v>
      </c>
      <c r="I213" s="10" t="s">
        <v>454</v>
      </c>
      <c r="J213" s="10" t="s">
        <v>455</v>
      </c>
      <c r="K213" s="11">
        <v>1</v>
      </c>
      <c r="L213" s="11"/>
      <c r="M213" s="7" t="s">
        <v>727</v>
      </c>
      <c r="O213" s="4">
        <f t="shared" si="3"/>
        <v>0</v>
      </c>
    </row>
    <row r="214" spans="1:15" ht="29" x14ac:dyDescent="0.35">
      <c r="A214" s="7">
        <v>212</v>
      </c>
      <c r="B214" s="8" t="s">
        <v>254</v>
      </c>
      <c r="C214" s="8" t="s">
        <v>123</v>
      </c>
      <c r="D214" s="8" t="s">
        <v>664</v>
      </c>
      <c r="E214" s="8" t="s">
        <v>408</v>
      </c>
      <c r="F214" s="8" t="s">
        <v>665</v>
      </c>
      <c r="G214" s="9" t="s">
        <v>454</v>
      </c>
      <c r="H214" s="10" t="s">
        <v>454</v>
      </c>
      <c r="I214" s="10" t="s">
        <v>454</v>
      </c>
      <c r="J214" s="10" t="s">
        <v>454</v>
      </c>
      <c r="K214" s="11">
        <v>1</v>
      </c>
      <c r="L214" s="11"/>
      <c r="M214" s="7" t="s">
        <v>727</v>
      </c>
      <c r="O214" s="4">
        <f t="shared" si="3"/>
        <v>1</v>
      </c>
    </row>
    <row r="215" spans="1:15" ht="43.5" x14ac:dyDescent="0.35">
      <c r="A215" s="7">
        <v>213</v>
      </c>
      <c r="B215" s="8" t="s">
        <v>255</v>
      </c>
      <c r="C215" s="8" t="s">
        <v>48</v>
      </c>
      <c r="D215" s="8" t="s">
        <v>664</v>
      </c>
      <c r="E215" s="8" t="s">
        <v>408</v>
      </c>
      <c r="F215" s="8" t="s">
        <v>666</v>
      </c>
      <c r="G215" s="9" t="s">
        <v>454</v>
      </c>
      <c r="H215" s="10" t="s">
        <v>454</v>
      </c>
      <c r="I215" s="10" t="s">
        <v>454</v>
      </c>
      <c r="J215" s="10" t="s">
        <v>454</v>
      </c>
      <c r="K215" s="11">
        <v>1</v>
      </c>
      <c r="L215" s="11"/>
      <c r="M215" s="7" t="s">
        <v>727</v>
      </c>
      <c r="O215" s="4">
        <f t="shared" si="3"/>
        <v>1</v>
      </c>
    </row>
    <row r="216" spans="1:15" ht="29" x14ac:dyDescent="0.35">
      <c r="A216" s="7">
        <v>214</v>
      </c>
      <c r="B216" s="8" t="s">
        <v>256</v>
      </c>
      <c r="C216" s="8" t="s">
        <v>48</v>
      </c>
      <c r="D216" s="8" t="s">
        <v>664</v>
      </c>
      <c r="E216" s="8" t="s">
        <v>554</v>
      </c>
      <c r="F216" s="8" t="s">
        <v>667</v>
      </c>
      <c r="G216" s="9" t="s">
        <v>454</v>
      </c>
      <c r="H216" s="10" t="s">
        <v>454</v>
      </c>
      <c r="I216" s="10" t="s">
        <v>454</v>
      </c>
      <c r="J216" s="10" t="s">
        <v>454</v>
      </c>
      <c r="K216" s="11">
        <v>1</v>
      </c>
      <c r="L216" s="11"/>
      <c r="M216" s="7" t="s">
        <v>727</v>
      </c>
      <c r="O216" s="4">
        <f t="shared" si="3"/>
        <v>1</v>
      </c>
    </row>
    <row r="217" spans="1:15" ht="29" x14ac:dyDescent="0.35">
      <c r="A217" s="7">
        <v>215</v>
      </c>
      <c r="B217" s="8" t="s">
        <v>257</v>
      </c>
      <c r="C217" s="8" t="s">
        <v>48</v>
      </c>
      <c r="D217" s="8" t="s">
        <v>664</v>
      </c>
      <c r="E217" s="8" t="s">
        <v>554</v>
      </c>
      <c r="F217" s="8" t="s">
        <v>668</v>
      </c>
      <c r="G217" s="9" t="s">
        <v>454</v>
      </c>
      <c r="H217" s="10" t="s">
        <v>454</v>
      </c>
      <c r="I217" s="10" t="s">
        <v>454</v>
      </c>
      <c r="J217" s="10" t="s">
        <v>454</v>
      </c>
      <c r="K217" s="11">
        <v>1</v>
      </c>
      <c r="L217" s="11"/>
      <c r="M217" s="7" t="s">
        <v>727</v>
      </c>
      <c r="O217" s="4">
        <f t="shared" si="3"/>
        <v>1</v>
      </c>
    </row>
    <row r="218" spans="1:15" x14ac:dyDescent="0.35">
      <c r="A218" s="7">
        <v>216</v>
      </c>
      <c r="B218" s="8" t="s">
        <v>258</v>
      </c>
      <c r="C218" s="8" t="s">
        <v>48</v>
      </c>
      <c r="D218" s="8" t="s">
        <v>664</v>
      </c>
      <c r="E218" s="8" t="s">
        <v>501</v>
      </c>
      <c r="F218" s="8" t="s">
        <v>502</v>
      </c>
      <c r="G218" s="9" t="s">
        <v>454</v>
      </c>
      <c r="H218" s="10" t="s">
        <v>454</v>
      </c>
      <c r="I218" s="10" t="s">
        <v>454</v>
      </c>
      <c r="J218" s="10" t="s">
        <v>454</v>
      </c>
      <c r="K218" s="11">
        <v>1</v>
      </c>
      <c r="L218" s="11"/>
      <c r="M218" s="7" t="s">
        <v>727</v>
      </c>
      <c r="O218" s="4">
        <f t="shared" si="3"/>
        <v>1</v>
      </c>
    </row>
    <row r="219" spans="1:15" ht="29" x14ac:dyDescent="0.35">
      <c r="A219" s="7">
        <v>217</v>
      </c>
      <c r="B219" s="8" t="s">
        <v>259</v>
      </c>
      <c r="C219" s="8" t="s">
        <v>48</v>
      </c>
      <c r="D219" s="8" t="s">
        <v>664</v>
      </c>
      <c r="E219" s="8" t="s">
        <v>501</v>
      </c>
      <c r="F219" s="8" t="s">
        <v>502</v>
      </c>
      <c r="G219" s="9" t="s">
        <v>454</v>
      </c>
      <c r="H219" s="10" t="s">
        <v>454</v>
      </c>
      <c r="I219" s="10" t="s">
        <v>454</v>
      </c>
      <c r="J219" s="10" t="s">
        <v>454</v>
      </c>
      <c r="K219" s="11">
        <v>1</v>
      </c>
      <c r="L219" s="11"/>
      <c r="M219" s="7" t="s">
        <v>727</v>
      </c>
      <c r="O219" s="4">
        <f t="shared" si="3"/>
        <v>1</v>
      </c>
    </row>
    <row r="220" spans="1:15" x14ac:dyDescent="0.35">
      <c r="A220" s="7">
        <v>218</v>
      </c>
      <c r="B220" s="8" t="s">
        <v>260</v>
      </c>
      <c r="C220" s="8" t="s">
        <v>48</v>
      </c>
      <c r="D220" s="8" t="s">
        <v>664</v>
      </c>
      <c r="E220" s="8" t="s">
        <v>501</v>
      </c>
      <c r="F220" s="8" t="s">
        <v>344</v>
      </c>
      <c r="G220" s="9" t="s">
        <v>454</v>
      </c>
      <c r="H220" s="10" t="s">
        <v>454</v>
      </c>
      <c r="I220" s="10" t="s">
        <v>454</v>
      </c>
      <c r="J220" s="10" t="s">
        <v>454</v>
      </c>
      <c r="K220" s="11">
        <v>1</v>
      </c>
      <c r="L220" s="11"/>
      <c r="M220" s="7" t="s">
        <v>727</v>
      </c>
      <c r="O220" s="4">
        <f t="shared" si="3"/>
        <v>1</v>
      </c>
    </row>
    <row r="221" spans="1:15" x14ac:dyDescent="0.35">
      <c r="A221" s="7">
        <v>219</v>
      </c>
      <c r="B221" s="8" t="s">
        <v>261</v>
      </c>
      <c r="C221" s="8" t="s">
        <v>48</v>
      </c>
      <c r="D221" s="8" t="s">
        <v>664</v>
      </c>
      <c r="E221" s="8" t="s">
        <v>501</v>
      </c>
      <c r="F221" s="8" t="s">
        <v>344</v>
      </c>
      <c r="G221" s="9" t="s">
        <v>454</v>
      </c>
      <c r="H221" s="10" t="s">
        <v>454</v>
      </c>
      <c r="I221" s="10" t="s">
        <v>454</v>
      </c>
      <c r="J221" s="10" t="s">
        <v>454</v>
      </c>
      <c r="K221" s="11">
        <v>1</v>
      </c>
      <c r="L221" s="11"/>
      <c r="M221" s="7" t="s">
        <v>727</v>
      </c>
      <c r="O221" s="4">
        <f t="shared" si="3"/>
        <v>1</v>
      </c>
    </row>
    <row r="222" spans="1:15" x14ac:dyDescent="0.35">
      <c r="A222" s="7">
        <v>220</v>
      </c>
      <c r="B222" s="8" t="s">
        <v>262</v>
      </c>
      <c r="C222" s="8" t="s">
        <v>48</v>
      </c>
      <c r="D222" s="8" t="s">
        <v>664</v>
      </c>
      <c r="E222" s="8" t="s">
        <v>501</v>
      </c>
      <c r="F222" s="8" t="s">
        <v>669</v>
      </c>
      <c r="G222" s="9" t="s">
        <v>454</v>
      </c>
      <c r="H222" s="10" t="s">
        <v>454</v>
      </c>
      <c r="I222" s="10" t="s">
        <v>454</v>
      </c>
      <c r="J222" s="10" t="s">
        <v>454</v>
      </c>
      <c r="K222" s="11">
        <v>1</v>
      </c>
      <c r="L222" s="11"/>
      <c r="M222" s="7" t="s">
        <v>727</v>
      </c>
      <c r="O222" s="4">
        <f t="shared" si="3"/>
        <v>1</v>
      </c>
    </row>
    <row r="223" spans="1:15" ht="58" x14ac:dyDescent="0.35">
      <c r="A223" s="7">
        <v>221</v>
      </c>
      <c r="B223" s="8" t="s">
        <v>263</v>
      </c>
      <c r="C223" s="8" t="s">
        <v>48</v>
      </c>
      <c r="D223" s="8" t="s">
        <v>664</v>
      </c>
      <c r="E223" s="8" t="s">
        <v>501</v>
      </c>
      <c r="F223" s="8" t="s">
        <v>670</v>
      </c>
      <c r="G223" s="9" t="s">
        <v>454</v>
      </c>
      <c r="H223" s="10" t="s">
        <v>454</v>
      </c>
      <c r="I223" s="10" t="s">
        <v>454</v>
      </c>
      <c r="J223" s="10" t="s">
        <v>454</v>
      </c>
      <c r="K223" s="11">
        <v>1</v>
      </c>
      <c r="L223" s="11"/>
      <c r="M223" s="7" t="s">
        <v>727</v>
      </c>
      <c r="O223" s="4">
        <f t="shared" si="3"/>
        <v>1</v>
      </c>
    </row>
    <row r="224" spans="1:15" ht="43.5" x14ac:dyDescent="0.35">
      <c r="A224" s="7">
        <v>222</v>
      </c>
      <c r="B224" s="8" t="s">
        <v>264</v>
      </c>
      <c r="C224" s="8" t="s">
        <v>48</v>
      </c>
      <c r="D224" s="8" t="s">
        <v>664</v>
      </c>
      <c r="E224" s="8" t="s">
        <v>501</v>
      </c>
      <c r="F224" s="8" t="s">
        <v>671</v>
      </c>
      <c r="G224" s="9" t="s">
        <v>454</v>
      </c>
      <c r="H224" s="10" t="s">
        <v>454</v>
      </c>
      <c r="I224" s="10" t="s">
        <v>454</v>
      </c>
      <c r="J224" s="10" t="s">
        <v>454</v>
      </c>
      <c r="K224" s="11">
        <v>1</v>
      </c>
      <c r="L224" s="11"/>
      <c r="M224" s="7" t="s">
        <v>727</v>
      </c>
      <c r="O224" s="4">
        <f t="shared" si="3"/>
        <v>1</v>
      </c>
    </row>
    <row r="225" spans="1:15" x14ac:dyDescent="0.35">
      <c r="A225" s="7">
        <v>223</v>
      </c>
      <c r="B225" s="8" t="s">
        <v>265</v>
      </c>
      <c r="C225" s="8" t="s">
        <v>48</v>
      </c>
      <c r="D225" s="8" t="s">
        <v>664</v>
      </c>
      <c r="E225" s="8" t="s">
        <v>501</v>
      </c>
      <c r="F225" s="8" t="s">
        <v>344</v>
      </c>
      <c r="G225" s="9" t="s">
        <v>454</v>
      </c>
      <c r="H225" s="10" t="s">
        <v>454</v>
      </c>
      <c r="I225" s="10" t="s">
        <v>454</v>
      </c>
      <c r="J225" s="10" t="s">
        <v>454</v>
      </c>
      <c r="K225" s="11">
        <v>1</v>
      </c>
      <c r="L225" s="11"/>
      <c r="M225" s="7" t="s">
        <v>727</v>
      </c>
      <c r="O225" s="4">
        <f t="shared" si="3"/>
        <v>1</v>
      </c>
    </row>
    <row r="226" spans="1:15" ht="29" x14ac:dyDescent="0.35">
      <c r="A226" s="7">
        <v>224</v>
      </c>
      <c r="B226" s="8" t="s">
        <v>266</v>
      </c>
      <c r="C226" s="8" t="s">
        <v>48</v>
      </c>
      <c r="D226" s="8" t="s">
        <v>664</v>
      </c>
      <c r="E226" s="8" t="s">
        <v>501</v>
      </c>
      <c r="F226" s="8" t="s">
        <v>672</v>
      </c>
      <c r="G226" s="9" t="s">
        <v>454</v>
      </c>
      <c r="H226" s="10" t="s">
        <v>454</v>
      </c>
      <c r="I226" s="10" t="s">
        <v>454</v>
      </c>
      <c r="J226" s="10" t="s">
        <v>454</v>
      </c>
      <c r="K226" s="11">
        <v>1</v>
      </c>
      <c r="L226" s="11"/>
      <c r="M226" s="7" t="s">
        <v>727</v>
      </c>
      <c r="O226" s="4">
        <f t="shared" si="3"/>
        <v>1</v>
      </c>
    </row>
    <row r="227" spans="1:15" x14ac:dyDescent="0.35">
      <c r="A227" s="7">
        <v>225</v>
      </c>
      <c r="B227" s="8" t="s">
        <v>267</v>
      </c>
      <c r="C227" s="8" t="s">
        <v>48</v>
      </c>
      <c r="D227" s="8" t="s">
        <v>664</v>
      </c>
      <c r="E227" s="8" t="s">
        <v>390</v>
      </c>
      <c r="F227" s="8" t="s">
        <v>344</v>
      </c>
      <c r="G227" s="9" t="s">
        <v>454</v>
      </c>
      <c r="H227" s="10" t="s">
        <v>454</v>
      </c>
      <c r="I227" s="10" t="s">
        <v>454</v>
      </c>
      <c r="J227" s="10" t="s">
        <v>454</v>
      </c>
      <c r="K227" s="11">
        <v>1</v>
      </c>
      <c r="L227" s="11"/>
      <c r="M227" s="7" t="s">
        <v>727</v>
      </c>
      <c r="O227" s="4">
        <f t="shared" si="3"/>
        <v>1</v>
      </c>
    </row>
    <row r="228" spans="1:15" ht="29" x14ac:dyDescent="0.35">
      <c r="A228" s="7">
        <v>226</v>
      </c>
      <c r="B228" s="8" t="s">
        <v>268</v>
      </c>
      <c r="C228" s="8" t="s">
        <v>48</v>
      </c>
      <c r="D228" s="8" t="s">
        <v>664</v>
      </c>
      <c r="E228" s="8" t="s">
        <v>390</v>
      </c>
      <c r="F228" s="8" t="s">
        <v>673</v>
      </c>
      <c r="G228" s="9" t="s">
        <v>454</v>
      </c>
      <c r="H228" s="10" t="s">
        <v>454</v>
      </c>
      <c r="I228" s="10" t="s">
        <v>454</v>
      </c>
      <c r="J228" s="10" t="s">
        <v>454</v>
      </c>
      <c r="K228" s="11">
        <v>1</v>
      </c>
      <c r="L228" s="11"/>
      <c r="M228" s="7" t="s">
        <v>727</v>
      </c>
      <c r="O228" s="4">
        <f t="shared" si="3"/>
        <v>1</v>
      </c>
    </row>
    <row r="229" spans="1:15" x14ac:dyDescent="0.35">
      <c r="A229" s="7">
        <v>227</v>
      </c>
      <c r="B229" s="8" t="s">
        <v>269</v>
      </c>
      <c r="C229" s="8" t="s">
        <v>48</v>
      </c>
      <c r="D229" s="8" t="s">
        <v>664</v>
      </c>
      <c r="E229" s="8" t="s">
        <v>390</v>
      </c>
      <c r="F229" s="8" t="s">
        <v>673</v>
      </c>
      <c r="G229" s="9" t="s">
        <v>454</v>
      </c>
      <c r="H229" s="10" t="s">
        <v>454</v>
      </c>
      <c r="I229" s="10" t="s">
        <v>454</v>
      </c>
      <c r="J229" s="10" t="s">
        <v>454</v>
      </c>
      <c r="K229" s="11">
        <v>1</v>
      </c>
      <c r="L229" s="11"/>
      <c r="M229" s="7" t="s">
        <v>727</v>
      </c>
      <c r="O229" s="4">
        <f t="shared" si="3"/>
        <v>1</v>
      </c>
    </row>
    <row r="230" spans="1:15" x14ac:dyDescent="0.35">
      <c r="A230" s="7">
        <v>228</v>
      </c>
      <c r="B230" s="8" t="s">
        <v>270</v>
      </c>
      <c r="C230" s="8" t="s">
        <v>48</v>
      </c>
      <c r="D230" s="8" t="s">
        <v>664</v>
      </c>
      <c r="E230" s="8" t="s">
        <v>390</v>
      </c>
      <c r="F230" s="8" t="s">
        <v>344</v>
      </c>
      <c r="G230" s="9" t="s">
        <v>454</v>
      </c>
      <c r="H230" s="10" t="s">
        <v>454</v>
      </c>
      <c r="I230" s="10" t="s">
        <v>454</v>
      </c>
      <c r="J230" s="10" t="s">
        <v>454</v>
      </c>
      <c r="K230" s="11">
        <v>1</v>
      </c>
      <c r="L230" s="11"/>
      <c r="M230" s="7" t="s">
        <v>727</v>
      </c>
      <c r="O230" s="4">
        <f t="shared" si="3"/>
        <v>1</v>
      </c>
    </row>
    <row r="231" spans="1:15" ht="29" x14ac:dyDescent="0.35">
      <c r="A231" s="7">
        <v>229</v>
      </c>
      <c r="B231" s="8" t="s">
        <v>271</v>
      </c>
      <c r="C231" s="8" t="s">
        <v>48</v>
      </c>
      <c r="D231" s="8" t="s">
        <v>664</v>
      </c>
      <c r="E231" s="8" t="s">
        <v>390</v>
      </c>
      <c r="F231" s="8" t="s">
        <v>344</v>
      </c>
      <c r="G231" s="9" t="s">
        <v>454</v>
      </c>
      <c r="H231" s="10" t="s">
        <v>454</v>
      </c>
      <c r="I231" s="10" t="s">
        <v>454</v>
      </c>
      <c r="J231" s="10" t="s">
        <v>454</v>
      </c>
      <c r="K231" s="11">
        <v>1</v>
      </c>
      <c r="L231" s="11"/>
      <c r="M231" s="7" t="s">
        <v>727</v>
      </c>
      <c r="O231" s="4">
        <f t="shared" si="3"/>
        <v>1</v>
      </c>
    </row>
    <row r="232" spans="1:15" ht="29" x14ac:dyDescent="0.35">
      <c r="A232" s="7">
        <v>230</v>
      </c>
      <c r="B232" s="8" t="s">
        <v>272</v>
      </c>
      <c r="C232" s="8" t="s">
        <v>48</v>
      </c>
      <c r="D232" s="8" t="s">
        <v>664</v>
      </c>
      <c r="E232" s="8" t="s">
        <v>390</v>
      </c>
      <c r="F232" s="8" t="s">
        <v>674</v>
      </c>
      <c r="G232" s="9" t="s">
        <v>454</v>
      </c>
      <c r="H232" s="10" t="s">
        <v>454</v>
      </c>
      <c r="I232" s="10" t="s">
        <v>454</v>
      </c>
      <c r="J232" s="10" t="s">
        <v>454</v>
      </c>
      <c r="K232" s="11">
        <v>1</v>
      </c>
      <c r="L232" s="11"/>
      <c r="M232" s="7" t="s">
        <v>727</v>
      </c>
      <c r="O232" s="4">
        <f t="shared" si="3"/>
        <v>1</v>
      </c>
    </row>
    <row r="233" spans="1:15" x14ac:dyDescent="0.35">
      <c r="A233" s="7">
        <v>231</v>
      </c>
      <c r="B233" s="8" t="s">
        <v>273</v>
      </c>
      <c r="C233" s="8" t="s">
        <v>48</v>
      </c>
      <c r="D233" s="8" t="s">
        <v>664</v>
      </c>
      <c r="E233" s="8" t="s">
        <v>361</v>
      </c>
      <c r="F233" s="8" t="s">
        <v>675</v>
      </c>
      <c r="G233" s="9" t="s">
        <v>454</v>
      </c>
      <c r="H233" s="10" t="s">
        <v>454</v>
      </c>
      <c r="I233" s="10" t="s">
        <v>454</v>
      </c>
      <c r="J233" s="10" t="s">
        <v>454</v>
      </c>
      <c r="K233" s="11">
        <v>1</v>
      </c>
      <c r="L233" s="11"/>
      <c r="M233" s="7" t="s">
        <v>727</v>
      </c>
      <c r="O233" s="4">
        <f t="shared" si="3"/>
        <v>1</v>
      </c>
    </row>
    <row r="234" spans="1:15" x14ac:dyDescent="0.35">
      <c r="A234" s="7">
        <v>232</v>
      </c>
      <c r="B234" s="8" t="s">
        <v>274</v>
      </c>
      <c r="C234" s="8" t="s">
        <v>48</v>
      </c>
      <c r="D234" s="8" t="s">
        <v>664</v>
      </c>
      <c r="E234" s="8" t="s">
        <v>361</v>
      </c>
      <c r="F234" s="8" t="s">
        <v>506</v>
      </c>
      <c r="G234" s="9" t="s">
        <v>454</v>
      </c>
      <c r="H234" s="10" t="s">
        <v>454</v>
      </c>
      <c r="I234" s="10" t="s">
        <v>454</v>
      </c>
      <c r="J234" s="10" t="s">
        <v>454</v>
      </c>
      <c r="K234" s="11">
        <v>1</v>
      </c>
      <c r="L234" s="11"/>
      <c r="M234" s="7" t="s">
        <v>727</v>
      </c>
      <c r="O234" s="4">
        <f t="shared" si="3"/>
        <v>1</v>
      </c>
    </row>
    <row r="235" spans="1:15" ht="29" x14ac:dyDescent="0.35">
      <c r="A235" s="7">
        <v>233</v>
      </c>
      <c r="B235" s="8" t="s">
        <v>275</v>
      </c>
      <c r="C235" s="8" t="s">
        <v>48</v>
      </c>
      <c r="D235" s="8" t="s">
        <v>664</v>
      </c>
      <c r="E235" s="8" t="s">
        <v>361</v>
      </c>
      <c r="F235" s="8" t="s">
        <v>676</v>
      </c>
      <c r="G235" s="9" t="s">
        <v>454</v>
      </c>
      <c r="H235" s="10" t="s">
        <v>454</v>
      </c>
      <c r="I235" s="10" t="s">
        <v>454</v>
      </c>
      <c r="J235" s="10" t="s">
        <v>454</v>
      </c>
      <c r="K235" s="11">
        <v>1</v>
      </c>
      <c r="L235" s="11"/>
      <c r="M235" s="7" t="s">
        <v>727</v>
      </c>
      <c r="O235" s="4">
        <f t="shared" si="3"/>
        <v>1</v>
      </c>
    </row>
    <row r="236" spans="1:15" x14ac:dyDescent="0.35">
      <c r="A236" s="7">
        <v>234</v>
      </c>
      <c r="B236" s="8" t="s">
        <v>276</v>
      </c>
      <c r="C236" s="8" t="s">
        <v>48</v>
      </c>
      <c r="D236" s="8" t="s">
        <v>664</v>
      </c>
      <c r="E236" s="8" t="s">
        <v>556</v>
      </c>
      <c r="F236" s="8" t="s">
        <v>344</v>
      </c>
      <c r="G236" s="9" t="s">
        <v>454</v>
      </c>
      <c r="H236" s="10" t="s">
        <v>454</v>
      </c>
      <c r="I236" s="10" t="s">
        <v>454</v>
      </c>
      <c r="J236" s="10" t="s">
        <v>454</v>
      </c>
      <c r="K236" s="11">
        <v>1</v>
      </c>
      <c r="L236" s="11"/>
      <c r="M236" s="7" t="s">
        <v>727</v>
      </c>
      <c r="O236" s="4">
        <f t="shared" si="3"/>
        <v>1</v>
      </c>
    </row>
    <row r="237" spans="1:15" ht="29" x14ac:dyDescent="0.35">
      <c r="A237" s="7">
        <v>235</v>
      </c>
      <c r="B237" s="8" t="s">
        <v>277</v>
      </c>
      <c r="C237" s="8" t="s">
        <v>48</v>
      </c>
      <c r="D237" s="8" t="s">
        <v>664</v>
      </c>
      <c r="E237" s="8" t="s">
        <v>378</v>
      </c>
      <c r="F237" s="8" t="s">
        <v>677</v>
      </c>
      <c r="G237" s="9" t="s">
        <v>454</v>
      </c>
      <c r="H237" s="10" t="s">
        <v>454</v>
      </c>
      <c r="I237" s="10" t="s">
        <v>454</v>
      </c>
      <c r="J237" s="10" t="s">
        <v>454</v>
      </c>
      <c r="K237" s="11">
        <v>1</v>
      </c>
      <c r="L237" s="11"/>
      <c r="M237" s="7" t="s">
        <v>727</v>
      </c>
      <c r="O237" s="4">
        <f t="shared" si="3"/>
        <v>1</v>
      </c>
    </row>
    <row r="238" spans="1:15" ht="43.5" x14ac:dyDescent="0.35">
      <c r="A238" s="7">
        <v>236</v>
      </c>
      <c r="B238" s="8" t="s">
        <v>278</v>
      </c>
      <c r="C238" s="8" t="s">
        <v>48</v>
      </c>
      <c r="D238" s="8" t="s">
        <v>664</v>
      </c>
      <c r="E238" s="8" t="s">
        <v>493</v>
      </c>
      <c r="F238" s="8" t="s">
        <v>678</v>
      </c>
      <c r="G238" s="9" t="s">
        <v>454</v>
      </c>
      <c r="H238" s="10" t="s">
        <v>454</v>
      </c>
      <c r="I238" s="10" t="s">
        <v>454</v>
      </c>
      <c r="J238" s="10" t="s">
        <v>454</v>
      </c>
      <c r="K238" s="11">
        <v>1</v>
      </c>
      <c r="L238" s="11"/>
      <c r="M238" s="7" t="s">
        <v>727</v>
      </c>
      <c r="O238" s="4">
        <f t="shared" si="3"/>
        <v>1</v>
      </c>
    </row>
    <row r="239" spans="1:15" ht="58" x14ac:dyDescent="0.35">
      <c r="A239" s="7">
        <v>237</v>
      </c>
      <c r="B239" s="8" t="s">
        <v>279</v>
      </c>
      <c r="C239" s="8" t="s">
        <v>48</v>
      </c>
      <c r="D239" s="8" t="s">
        <v>664</v>
      </c>
      <c r="E239" s="8" t="s">
        <v>493</v>
      </c>
      <c r="F239" s="8" t="s">
        <v>679</v>
      </c>
      <c r="G239" s="9" t="s">
        <v>454</v>
      </c>
      <c r="H239" s="10" t="s">
        <v>454</v>
      </c>
      <c r="I239" s="10" t="s">
        <v>454</v>
      </c>
      <c r="J239" s="10" t="s">
        <v>454</v>
      </c>
      <c r="K239" s="11">
        <v>1</v>
      </c>
      <c r="L239" s="11"/>
      <c r="M239" s="7" t="s">
        <v>727</v>
      </c>
      <c r="O239" s="4">
        <f t="shared" si="3"/>
        <v>1</v>
      </c>
    </row>
    <row r="240" spans="1:15" ht="145" x14ac:dyDescent="0.35">
      <c r="A240" s="7">
        <v>238</v>
      </c>
      <c r="B240" s="8" t="s">
        <v>280</v>
      </c>
      <c r="C240" s="8" t="s">
        <v>48</v>
      </c>
      <c r="D240" s="8" t="s">
        <v>664</v>
      </c>
      <c r="E240" s="8" t="s">
        <v>493</v>
      </c>
      <c r="F240" s="8" t="s">
        <v>680</v>
      </c>
      <c r="G240" s="9" t="s">
        <v>454</v>
      </c>
      <c r="H240" s="10" t="s">
        <v>454</v>
      </c>
      <c r="I240" s="10" t="s">
        <v>454</v>
      </c>
      <c r="J240" s="10" t="s">
        <v>454</v>
      </c>
      <c r="K240" s="11">
        <v>1</v>
      </c>
      <c r="L240" s="11"/>
      <c r="M240" s="7" t="s">
        <v>727</v>
      </c>
      <c r="O240" s="4">
        <f t="shared" si="3"/>
        <v>1</v>
      </c>
    </row>
    <row r="241" spans="1:15" ht="29" x14ac:dyDescent="0.35">
      <c r="A241" s="7">
        <v>239</v>
      </c>
      <c r="B241" s="8" t="s">
        <v>281</v>
      </c>
      <c r="C241" s="8" t="s">
        <v>48</v>
      </c>
      <c r="D241" s="8" t="s">
        <v>664</v>
      </c>
      <c r="E241" s="8" t="s">
        <v>447</v>
      </c>
      <c r="F241" s="8" t="s">
        <v>681</v>
      </c>
      <c r="G241" s="9" t="s">
        <v>454</v>
      </c>
      <c r="H241" s="10" t="s">
        <v>454</v>
      </c>
      <c r="I241" s="10" t="s">
        <v>454</v>
      </c>
      <c r="J241" s="10" t="s">
        <v>454</v>
      </c>
      <c r="K241" s="11">
        <v>1</v>
      </c>
      <c r="L241" s="11"/>
      <c r="M241" s="7" t="s">
        <v>727</v>
      </c>
      <c r="O241" s="4">
        <f t="shared" si="3"/>
        <v>1</v>
      </c>
    </row>
    <row r="242" spans="1:15" x14ac:dyDescent="0.35">
      <c r="A242" s="7">
        <v>240</v>
      </c>
      <c r="B242" s="8" t="s">
        <v>282</v>
      </c>
      <c r="C242" s="8" t="s">
        <v>48</v>
      </c>
      <c r="D242" s="8" t="s">
        <v>664</v>
      </c>
      <c r="E242" s="8" t="s">
        <v>447</v>
      </c>
      <c r="F242" s="8" t="s">
        <v>682</v>
      </c>
      <c r="G242" s="9" t="s">
        <v>454</v>
      </c>
      <c r="H242" s="10" t="s">
        <v>454</v>
      </c>
      <c r="I242" s="10" t="s">
        <v>454</v>
      </c>
      <c r="J242" s="10" t="s">
        <v>454</v>
      </c>
      <c r="K242" s="11">
        <v>1</v>
      </c>
      <c r="L242" s="11"/>
      <c r="M242" s="7" t="s">
        <v>727</v>
      </c>
      <c r="O242" s="4">
        <f t="shared" si="3"/>
        <v>1</v>
      </c>
    </row>
    <row r="243" spans="1:15" x14ac:dyDescent="0.35">
      <c r="A243" s="7">
        <v>241</v>
      </c>
      <c r="B243" s="8" t="s">
        <v>283</v>
      </c>
      <c r="C243" s="8" t="s">
        <v>48</v>
      </c>
      <c r="D243" s="8" t="s">
        <v>664</v>
      </c>
      <c r="E243" s="8" t="s">
        <v>447</v>
      </c>
      <c r="F243" s="8" t="s">
        <v>683</v>
      </c>
      <c r="G243" s="9" t="s">
        <v>454</v>
      </c>
      <c r="H243" s="10" t="s">
        <v>454</v>
      </c>
      <c r="I243" s="10" t="s">
        <v>454</v>
      </c>
      <c r="J243" s="10" t="s">
        <v>454</v>
      </c>
      <c r="K243" s="11">
        <v>1</v>
      </c>
      <c r="L243" s="11"/>
      <c r="M243" s="7" t="s">
        <v>727</v>
      </c>
      <c r="O243" s="4">
        <f t="shared" si="3"/>
        <v>1</v>
      </c>
    </row>
    <row r="244" spans="1:15" x14ac:dyDescent="0.35">
      <c r="A244" s="7">
        <v>242</v>
      </c>
      <c r="B244" s="8" t="s">
        <v>284</v>
      </c>
      <c r="C244" s="8" t="s">
        <v>48</v>
      </c>
      <c r="D244" s="8" t="s">
        <v>664</v>
      </c>
      <c r="E244" s="8" t="s">
        <v>447</v>
      </c>
      <c r="F244" s="8" t="s">
        <v>684</v>
      </c>
      <c r="G244" s="9" t="s">
        <v>454</v>
      </c>
      <c r="H244" s="10" t="s">
        <v>454</v>
      </c>
      <c r="I244" s="10" t="s">
        <v>454</v>
      </c>
      <c r="J244" s="10" t="s">
        <v>454</v>
      </c>
      <c r="K244" s="11">
        <v>1</v>
      </c>
      <c r="L244" s="11"/>
      <c r="M244" s="7" t="s">
        <v>727</v>
      </c>
      <c r="O244" s="4">
        <f t="shared" si="3"/>
        <v>1</v>
      </c>
    </row>
    <row r="245" spans="1:15" x14ac:dyDescent="0.35">
      <c r="A245" s="7">
        <v>243</v>
      </c>
      <c r="B245" s="8" t="s">
        <v>285</v>
      </c>
      <c r="C245" s="8" t="s">
        <v>48</v>
      </c>
      <c r="D245" s="8" t="s">
        <v>664</v>
      </c>
      <c r="E245" s="8" t="s">
        <v>369</v>
      </c>
      <c r="F245" s="8" t="s">
        <v>685</v>
      </c>
      <c r="G245" s="9" t="s">
        <v>454</v>
      </c>
      <c r="H245" s="10" t="s">
        <v>454</v>
      </c>
      <c r="I245" s="10" t="s">
        <v>454</v>
      </c>
      <c r="J245" s="10" t="s">
        <v>454</v>
      </c>
      <c r="K245" s="11">
        <v>1</v>
      </c>
      <c r="L245" s="11"/>
      <c r="M245" s="7" t="s">
        <v>727</v>
      </c>
      <c r="O245" s="4">
        <f t="shared" si="3"/>
        <v>1</v>
      </c>
    </row>
    <row r="246" spans="1:15" x14ac:dyDescent="0.35">
      <c r="A246" s="7">
        <v>244</v>
      </c>
      <c r="B246" s="8" t="s">
        <v>286</v>
      </c>
      <c r="C246" s="8" t="s">
        <v>48</v>
      </c>
      <c r="D246" s="8" t="s">
        <v>664</v>
      </c>
      <c r="E246" s="8" t="s">
        <v>352</v>
      </c>
      <c r="F246" s="8" t="s">
        <v>476</v>
      </c>
      <c r="G246" s="9" t="s">
        <v>454</v>
      </c>
      <c r="H246" s="10" t="s">
        <v>454</v>
      </c>
      <c r="I246" s="10" t="s">
        <v>454</v>
      </c>
      <c r="J246" s="10" t="s">
        <v>454</v>
      </c>
      <c r="K246" s="11">
        <v>1</v>
      </c>
      <c r="L246" s="11"/>
      <c r="M246" s="7" t="s">
        <v>727</v>
      </c>
      <c r="O246" s="4">
        <f t="shared" si="3"/>
        <v>1</v>
      </c>
    </row>
    <row r="247" spans="1:15" x14ac:dyDescent="0.35">
      <c r="A247" s="7">
        <v>245</v>
      </c>
      <c r="B247" s="8" t="s">
        <v>287</v>
      </c>
      <c r="C247" s="8" t="s">
        <v>48</v>
      </c>
      <c r="D247" s="8" t="s">
        <v>664</v>
      </c>
      <c r="E247" s="8" t="s">
        <v>450</v>
      </c>
      <c r="F247" s="8" t="s">
        <v>686</v>
      </c>
      <c r="G247" s="9" t="s">
        <v>454</v>
      </c>
      <c r="H247" s="10" t="s">
        <v>454</v>
      </c>
      <c r="I247" s="10" t="s">
        <v>454</v>
      </c>
      <c r="J247" s="10" t="s">
        <v>454</v>
      </c>
      <c r="K247" s="11">
        <v>1</v>
      </c>
      <c r="L247" s="11"/>
      <c r="M247" s="7" t="s">
        <v>727</v>
      </c>
      <c r="O247" s="4">
        <f t="shared" si="3"/>
        <v>1</v>
      </c>
    </row>
    <row r="248" spans="1:15" x14ac:dyDescent="0.35">
      <c r="A248" s="7">
        <v>246</v>
      </c>
      <c r="B248" s="8" t="s">
        <v>288</v>
      </c>
      <c r="C248" s="8" t="s">
        <v>48</v>
      </c>
      <c r="D248" s="8" t="s">
        <v>664</v>
      </c>
      <c r="E248" s="8" t="s">
        <v>386</v>
      </c>
      <c r="F248" s="8" t="s">
        <v>552</v>
      </c>
      <c r="G248" s="9" t="s">
        <v>454</v>
      </c>
      <c r="H248" s="10" t="s">
        <v>454</v>
      </c>
      <c r="I248" s="10" t="s">
        <v>454</v>
      </c>
      <c r="J248" s="10" t="s">
        <v>454</v>
      </c>
      <c r="K248" s="11">
        <v>1</v>
      </c>
      <c r="L248" s="11"/>
      <c r="M248" s="7" t="s">
        <v>727</v>
      </c>
      <c r="O248" s="4">
        <f t="shared" si="3"/>
        <v>1</v>
      </c>
    </row>
    <row r="249" spans="1:15" x14ac:dyDescent="0.35">
      <c r="A249" s="7">
        <v>247</v>
      </c>
      <c r="B249" s="8" t="s">
        <v>289</v>
      </c>
      <c r="C249" s="8" t="s">
        <v>48</v>
      </c>
      <c r="D249" s="8" t="s">
        <v>664</v>
      </c>
      <c r="E249" s="8" t="s">
        <v>540</v>
      </c>
      <c r="F249" s="8" t="s">
        <v>687</v>
      </c>
      <c r="G249" s="9" t="s">
        <v>454</v>
      </c>
      <c r="H249" s="10" t="s">
        <v>454</v>
      </c>
      <c r="I249" s="10" t="s">
        <v>454</v>
      </c>
      <c r="J249" s="10" t="s">
        <v>454</v>
      </c>
      <c r="K249" s="11">
        <v>1</v>
      </c>
      <c r="L249" s="11"/>
      <c r="M249" s="7" t="s">
        <v>727</v>
      </c>
      <c r="O249" s="4">
        <f t="shared" si="3"/>
        <v>1</v>
      </c>
    </row>
    <row r="250" spans="1:15" x14ac:dyDescent="0.35">
      <c r="A250" s="7">
        <v>248</v>
      </c>
      <c r="B250" s="8" t="s">
        <v>290</v>
      </c>
      <c r="C250" s="8" t="s">
        <v>48</v>
      </c>
      <c r="D250" s="8" t="s">
        <v>664</v>
      </c>
      <c r="E250" s="8" t="s">
        <v>384</v>
      </c>
      <c r="F250" s="8" t="s">
        <v>555</v>
      </c>
      <c r="G250" s="9" t="s">
        <v>454</v>
      </c>
      <c r="H250" s="10" t="s">
        <v>454</v>
      </c>
      <c r="I250" s="10" t="s">
        <v>454</v>
      </c>
      <c r="J250" s="10" t="s">
        <v>454</v>
      </c>
      <c r="K250" s="11">
        <v>1</v>
      </c>
      <c r="L250" s="11"/>
      <c r="M250" s="7" t="s">
        <v>727</v>
      </c>
      <c r="O250" s="4">
        <f t="shared" si="3"/>
        <v>1</v>
      </c>
    </row>
    <row r="251" spans="1:15" x14ac:dyDescent="0.35">
      <c r="A251" s="7">
        <v>249</v>
      </c>
      <c r="B251" s="8" t="s">
        <v>291</v>
      </c>
      <c r="C251" s="8" t="s">
        <v>48</v>
      </c>
      <c r="D251" s="8" t="s">
        <v>664</v>
      </c>
      <c r="E251" s="8" t="s">
        <v>384</v>
      </c>
      <c r="F251" s="8" t="s">
        <v>555</v>
      </c>
      <c r="G251" s="9" t="s">
        <v>454</v>
      </c>
      <c r="H251" s="10" t="s">
        <v>454</v>
      </c>
      <c r="I251" s="10" t="s">
        <v>454</v>
      </c>
      <c r="J251" s="10" t="s">
        <v>454</v>
      </c>
      <c r="K251" s="11">
        <v>1</v>
      </c>
      <c r="L251" s="11"/>
      <c r="M251" s="7" t="s">
        <v>727</v>
      </c>
      <c r="O251" s="4">
        <f t="shared" si="3"/>
        <v>1</v>
      </c>
    </row>
    <row r="252" spans="1:15" ht="29" x14ac:dyDescent="0.35">
      <c r="A252" s="7">
        <v>250</v>
      </c>
      <c r="B252" s="8" t="s">
        <v>292</v>
      </c>
      <c r="C252" s="8" t="s">
        <v>48</v>
      </c>
      <c r="D252" s="8" t="s">
        <v>664</v>
      </c>
      <c r="E252" s="8" t="s">
        <v>384</v>
      </c>
      <c r="F252" s="8" t="s">
        <v>555</v>
      </c>
      <c r="G252" s="9" t="s">
        <v>454</v>
      </c>
      <c r="H252" s="10" t="s">
        <v>454</v>
      </c>
      <c r="I252" s="10" t="s">
        <v>454</v>
      </c>
      <c r="J252" s="10" t="s">
        <v>454</v>
      </c>
      <c r="K252" s="11">
        <v>1</v>
      </c>
      <c r="L252" s="11"/>
      <c r="M252" s="7" t="s">
        <v>727</v>
      </c>
      <c r="O252" s="4">
        <f t="shared" si="3"/>
        <v>1</v>
      </c>
    </row>
    <row r="253" spans="1:15" ht="29" x14ac:dyDescent="0.35">
      <c r="A253" s="7">
        <v>251</v>
      </c>
      <c r="B253" s="8" t="s">
        <v>293</v>
      </c>
      <c r="C253" s="8" t="s">
        <v>48</v>
      </c>
      <c r="D253" s="8" t="s">
        <v>664</v>
      </c>
      <c r="E253" s="8" t="s">
        <v>384</v>
      </c>
      <c r="F253" s="8" t="s">
        <v>558</v>
      </c>
      <c r="G253" s="9" t="s">
        <v>454</v>
      </c>
      <c r="H253" s="10" t="s">
        <v>454</v>
      </c>
      <c r="I253" s="10" t="s">
        <v>454</v>
      </c>
      <c r="J253" s="10" t="s">
        <v>454</v>
      </c>
      <c r="K253" s="11">
        <v>1</v>
      </c>
      <c r="L253" s="11"/>
      <c r="M253" s="7" t="s">
        <v>727</v>
      </c>
      <c r="O253" s="4">
        <f t="shared" si="3"/>
        <v>1</v>
      </c>
    </row>
    <row r="254" spans="1:15" x14ac:dyDescent="0.35">
      <c r="A254" s="7">
        <v>252</v>
      </c>
      <c r="B254" s="8" t="s">
        <v>294</v>
      </c>
      <c r="C254" s="8" t="s">
        <v>48</v>
      </c>
      <c r="D254" s="8" t="s">
        <v>664</v>
      </c>
      <c r="E254" s="8" t="s">
        <v>441</v>
      </c>
      <c r="F254" s="8" t="s">
        <v>688</v>
      </c>
      <c r="G254" s="9" t="s">
        <v>454</v>
      </c>
      <c r="H254" s="10" t="s">
        <v>454</v>
      </c>
      <c r="I254" s="10" t="s">
        <v>454</v>
      </c>
      <c r="J254" s="10" t="s">
        <v>454</v>
      </c>
      <c r="K254" s="11">
        <v>1</v>
      </c>
      <c r="L254" s="11"/>
      <c r="M254" s="7" t="s">
        <v>727</v>
      </c>
      <c r="O254" s="4">
        <f t="shared" si="3"/>
        <v>1</v>
      </c>
    </row>
    <row r="255" spans="1:15" ht="116" x14ac:dyDescent="0.35">
      <c r="A255" s="7">
        <v>253</v>
      </c>
      <c r="B255" s="8" t="s">
        <v>295</v>
      </c>
      <c r="C255" s="8" t="s">
        <v>46</v>
      </c>
      <c r="D255" s="8" t="s">
        <v>664</v>
      </c>
      <c r="E255" s="8" t="s">
        <v>689</v>
      </c>
      <c r="F255" s="8" t="s">
        <v>690</v>
      </c>
      <c r="G255" s="9" t="s">
        <v>454</v>
      </c>
      <c r="H255" s="10" t="s">
        <v>454</v>
      </c>
      <c r="I255" s="10" t="s">
        <v>454</v>
      </c>
      <c r="J255" s="10" t="s">
        <v>454</v>
      </c>
      <c r="K255" s="11">
        <v>1</v>
      </c>
      <c r="L255" s="11"/>
      <c r="M255" s="7" t="s">
        <v>727</v>
      </c>
      <c r="O255" s="4">
        <f t="shared" si="3"/>
        <v>1</v>
      </c>
    </row>
    <row r="256" spans="1:15" ht="29" x14ac:dyDescent="0.35">
      <c r="A256" s="7">
        <v>254</v>
      </c>
      <c r="B256" s="8" t="s">
        <v>296</v>
      </c>
      <c r="C256" s="8" t="s">
        <v>72</v>
      </c>
      <c r="D256" s="8" t="s">
        <v>664</v>
      </c>
      <c r="E256" s="8" t="s">
        <v>426</v>
      </c>
      <c r="F256" s="8" t="s">
        <v>691</v>
      </c>
      <c r="G256" s="9" t="s">
        <v>454</v>
      </c>
      <c r="H256" s="10" t="s">
        <v>454</v>
      </c>
      <c r="I256" s="10" t="s">
        <v>454</v>
      </c>
      <c r="J256" s="10" t="s">
        <v>454</v>
      </c>
      <c r="K256" s="11">
        <v>1</v>
      </c>
      <c r="L256" s="11"/>
      <c r="M256" s="7" t="s">
        <v>727</v>
      </c>
      <c r="O256" s="4">
        <f t="shared" si="3"/>
        <v>1</v>
      </c>
    </row>
    <row r="257" spans="1:15" ht="29" x14ac:dyDescent="0.35">
      <c r="A257" s="7">
        <v>255</v>
      </c>
      <c r="B257" s="8" t="s">
        <v>297</v>
      </c>
      <c r="C257" s="8" t="s">
        <v>32</v>
      </c>
      <c r="D257" s="8" t="s">
        <v>664</v>
      </c>
      <c r="E257" s="8" t="s">
        <v>369</v>
      </c>
      <c r="F257" s="8" t="s">
        <v>692</v>
      </c>
      <c r="G257" s="9" t="s">
        <v>454</v>
      </c>
      <c r="H257" s="10" t="s">
        <v>454</v>
      </c>
      <c r="I257" s="10" t="s">
        <v>454</v>
      </c>
      <c r="J257" s="10" t="s">
        <v>455</v>
      </c>
      <c r="K257" s="11">
        <v>1</v>
      </c>
      <c r="L257" s="11"/>
      <c r="M257" s="7" t="s">
        <v>727</v>
      </c>
      <c r="O257" s="4">
        <f t="shared" si="3"/>
        <v>0</v>
      </c>
    </row>
    <row r="258" spans="1:15" ht="58" x14ac:dyDescent="0.35">
      <c r="A258" s="7">
        <v>256</v>
      </c>
      <c r="B258" s="8" t="s">
        <v>298</v>
      </c>
      <c r="C258" s="8" t="s">
        <v>299</v>
      </c>
      <c r="D258" s="8" t="s">
        <v>664</v>
      </c>
      <c r="E258" s="8" t="s">
        <v>398</v>
      </c>
      <c r="F258" s="8" t="s">
        <v>344</v>
      </c>
      <c r="G258" s="9" t="s">
        <v>454</v>
      </c>
      <c r="H258" s="10" t="s">
        <v>454</v>
      </c>
      <c r="I258" s="10" t="s">
        <v>454</v>
      </c>
      <c r="J258" s="10" t="s">
        <v>454</v>
      </c>
      <c r="K258" s="11">
        <v>1</v>
      </c>
      <c r="L258" s="11"/>
      <c r="M258" s="7" t="s">
        <v>727</v>
      </c>
      <c r="O258" s="4">
        <f t="shared" si="3"/>
        <v>1</v>
      </c>
    </row>
    <row r="259" spans="1:15" ht="58" x14ac:dyDescent="0.35">
      <c r="A259" s="7">
        <v>257</v>
      </c>
      <c r="B259" s="8" t="s">
        <v>300</v>
      </c>
      <c r="C259" s="8" t="s">
        <v>299</v>
      </c>
      <c r="D259" s="8" t="s">
        <v>664</v>
      </c>
      <c r="E259" s="8" t="s">
        <v>398</v>
      </c>
      <c r="F259" s="8" t="s">
        <v>344</v>
      </c>
      <c r="G259" s="9" t="s">
        <v>454</v>
      </c>
      <c r="H259" s="10" t="s">
        <v>454</v>
      </c>
      <c r="I259" s="10" t="s">
        <v>454</v>
      </c>
      <c r="J259" s="10" t="s">
        <v>455</v>
      </c>
      <c r="K259" s="11">
        <v>1</v>
      </c>
      <c r="L259" s="11"/>
      <c r="M259" s="7" t="s">
        <v>727</v>
      </c>
      <c r="O259" s="4">
        <f t="shared" si="3"/>
        <v>0</v>
      </c>
    </row>
    <row r="260" spans="1:15" ht="43.5" x14ac:dyDescent="0.35">
      <c r="A260" s="7">
        <v>258</v>
      </c>
      <c r="B260" s="8" t="s">
        <v>301</v>
      </c>
      <c r="C260" s="8" t="s">
        <v>302</v>
      </c>
      <c r="D260" s="8" t="s">
        <v>693</v>
      </c>
      <c r="E260" s="8" t="s">
        <v>485</v>
      </c>
      <c r="F260" s="8" t="s">
        <v>694</v>
      </c>
      <c r="G260" s="9" t="s">
        <v>454</v>
      </c>
      <c r="H260" s="10" t="s">
        <v>454</v>
      </c>
      <c r="I260" s="10" t="s">
        <v>454</v>
      </c>
      <c r="J260" s="10" t="s">
        <v>455</v>
      </c>
      <c r="K260" s="11">
        <v>1</v>
      </c>
      <c r="L260" s="11"/>
      <c r="M260" s="7" t="s">
        <v>727</v>
      </c>
      <c r="O260" s="4">
        <f t="shared" si="3"/>
        <v>0</v>
      </c>
    </row>
    <row r="261" spans="1:15" ht="43.5" x14ac:dyDescent="0.35">
      <c r="A261" s="7">
        <v>259</v>
      </c>
      <c r="B261" s="8" t="s">
        <v>303</v>
      </c>
      <c r="C261" s="8" t="s">
        <v>302</v>
      </c>
      <c r="D261" s="8" t="s">
        <v>693</v>
      </c>
      <c r="E261" s="8" t="s">
        <v>441</v>
      </c>
      <c r="F261" s="8" t="s">
        <v>695</v>
      </c>
      <c r="G261" s="9" t="s">
        <v>454</v>
      </c>
      <c r="H261" s="10" t="s">
        <v>454</v>
      </c>
      <c r="I261" s="10" t="s">
        <v>454</v>
      </c>
      <c r="J261" s="10" t="s">
        <v>455</v>
      </c>
      <c r="K261" s="11">
        <v>1</v>
      </c>
      <c r="L261" s="11"/>
      <c r="M261" s="7" t="s">
        <v>727</v>
      </c>
      <c r="O261" s="4">
        <f t="shared" ref="O261:O300" si="4">IF(J261="√",1,0)</f>
        <v>0</v>
      </c>
    </row>
    <row r="262" spans="1:15" ht="43.5" x14ac:dyDescent="0.35">
      <c r="A262" s="7">
        <v>260</v>
      </c>
      <c r="B262" s="8" t="s">
        <v>304</v>
      </c>
      <c r="C262" s="8" t="s">
        <v>302</v>
      </c>
      <c r="D262" s="8" t="s">
        <v>693</v>
      </c>
      <c r="E262" s="8" t="s">
        <v>384</v>
      </c>
      <c r="F262" s="8" t="s">
        <v>558</v>
      </c>
      <c r="G262" s="9" t="s">
        <v>454</v>
      </c>
      <c r="H262" s="10" t="s">
        <v>454</v>
      </c>
      <c r="I262" s="10" t="s">
        <v>454</v>
      </c>
      <c r="J262" s="10" t="s">
        <v>455</v>
      </c>
      <c r="K262" s="11">
        <v>1</v>
      </c>
      <c r="L262" s="11"/>
      <c r="M262" s="7" t="s">
        <v>727</v>
      </c>
      <c r="O262" s="4">
        <f t="shared" si="4"/>
        <v>0</v>
      </c>
    </row>
    <row r="263" spans="1:15" ht="43.5" x14ac:dyDescent="0.35">
      <c r="A263" s="7">
        <v>261</v>
      </c>
      <c r="B263" s="8" t="s">
        <v>305</v>
      </c>
      <c r="C263" s="8" t="s">
        <v>302</v>
      </c>
      <c r="D263" s="8" t="s">
        <v>693</v>
      </c>
      <c r="E263" s="8" t="s">
        <v>354</v>
      </c>
      <c r="F263" s="8" t="s">
        <v>651</v>
      </c>
      <c r="G263" s="9" t="s">
        <v>454</v>
      </c>
      <c r="H263" s="10" t="s">
        <v>454</v>
      </c>
      <c r="I263" s="10" t="s">
        <v>454</v>
      </c>
      <c r="J263" s="10" t="s">
        <v>455</v>
      </c>
      <c r="K263" s="11">
        <v>1</v>
      </c>
      <c r="L263" s="11"/>
      <c r="M263" s="7" t="s">
        <v>727</v>
      </c>
      <c r="O263" s="4">
        <f t="shared" si="4"/>
        <v>0</v>
      </c>
    </row>
    <row r="264" spans="1:15" ht="43.5" x14ac:dyDescent="0.35">
      <c r="A264" s="7">
        <v>262</v>
      </c>
      <c r="B264" s="8" t="s">
        <v>306</v>
      </c>
      <c r="C264" s="8" t="s">
        <v>302</v>
      </c>
      <c r="D264" s="8" t="s">
        <v>693</v>
      </c>
      <c r="E264" s="8" t="s">
        <v>356</v>
      </c>
      <c r="F264" s="8" t="s">
        <v>696</v>
      </c>
      <c r="G264" s="9" t="s">
        <v>454</v>
      </c>
      <c r="H264" s="10" t="s">
        <v>454</v>
      </c>
      <c r="I264" s="10" t="s">
        <v>454</v>
      </c>
      <c r="J264" s="10" t="s">
        <v>455</v>
      </c>
      <c r="K264" s="11">
        <v>1</v>
      </c>
      <c r="L264" s="11"/>
      <c r="M264" s="7" t="s">
        <v>727</v>
      </c>
      <c r="O264" s="4">
        <f t="shared" si="4"/>
        <v>0</v>
      </c>
    </row>
    <row r="265" spans="1:15" ht="43.5" x14ac:dyDescent="0.35">
      <c r="A265" s="7">
        <v>263</v>
      </c>
      <c r="B265" s="8" t="s">
        <v>307</v>
      </c>
      <c r="C265" s="8" t="s">
        <v>302</v>
      </c>
      <c r="D265" s="8" t="s">
        <v>693</v>
      </c>
      <c r="E265" s="8" t="s">
        <v>374</v>
      </c>
      <c r="F265" s="8" t="s">
        <v>697</v>
      </c>
      <c r="G265" s="9" t="s">
        <v>454</v>
      </c>
      <c r="H265" s="10" t="s">
        <v>454</v>
      </c>
      <c r="I265" s="10" t="s">
        <v>454</v>
      </c>
      <c r="J265" s="10" t="s">
        <v>455</v>
      </c>
      <c r="K265" s="11">
        <v>1</v>
      </c>
      <c r="L265" s="11"/>
      <c r="M265" s="7" t="s">
        <v>727</v>
      </c>
      <c r="O265" s="4">
        <f t="shared" si="4"/>
        <v>0</v>
      </c>
    </row>
    <row r="266" spans="1:15" ht="43.5" x14ac:dyDescent="0.35">
      <c r="A266" s="7">
        <v>264</v>
      </c>
      <c r="B266" s="8" t="s">
        <v>308</v>
      </c>
      <c r="C266" s="8" t="s">
        <v>302</v>
      </c>
      <c r="D266" s="8" t="s">
        <v>693</v>
      </c>
      <c r="E266" s="8" t="s">
        <v>384</v>
      </c>
      <c r="F266" s="8" t="s">
        <v>555</v>
      </c>
      <c r="G266" s="9" t="s">
        <v>454</v>
      </c>
      <c r="H266" s="10" t="s">
        <v>454</v>
      </c>
      <c r="I266" s="10" t="s">
        <v>454</v>
      </c>
      <c r="J266" s="10" t="s">
        <v>455</v>
      </c>
      <c r="K266" s="11">
        <v>1</v>
      </c>
      <c r="L266" s="11"/>
      <c r="M266" s="7" t="s">
        <v>727</v>
      </c>
      <c r="O266" s="4">
        <f t="shared" si="4"/>
        <v>0</v>
      </c>
    </row>
    <row r="267" spans="1:15" ht="43.5" x14ac:dyDescent="0.35">
      <c r="A267" s="7">
        <v>265</v>
      </c>
      <c r="B267" s="8" t="s">
        <v>309</v>
      </c>
      <c r="C267" s="8" t="s">
        <v>302</v>
      </c>
      <c r="D267" s="8" t="s">
        <v>693</v>
      </c>
      <c r="E267" s="8" t="s">
        <v>352</v>
      </c>
      <c r="F267" s="8" t="s">
        <v>581</v>
      </c>
      <c r="G267" s="9" t="s">
        <v>454</v>
      </c>
      <c r="H267" s="10" t="s">
        <v>454</v>
      </c>
      <c r="I267" s="10" t="s">
        <v>454</v>
      </c>
      <c r="J267" s="10" t="s">
        <v>455</v>
      </c>
      <c r="K267" s="11">
        <v>1</v>
      </c>
      <c r="L267" s="11"/>
      <c r="M267" s="7" t="s">
        <v>727</v>
      </c>
      <c r="O267" s="4">
        <f t="shared" si="4"/>
        <v>0</v>
      </c>
    </row>
    <row r="268" spans="1:15" ht="43.5" x14ac:dyDescent="0.35">
      <c r="A268" s="7">
        <v>266</v>
      </c>
      <c r="B268" s="8" t="s">
        <v>310</v>
      </c>
      <c r="C268" s="8" t="s">
        <v>302</v>
      </c>
      <c r="D268" s="8" t="s">
        <v>693</v>
      </c>
      <c r="E268" s="8" t="s">
        <v>354</v>
      </c>
      <c r="F268" s="8" t="s">
        <v>698</v>
      </c>
      <c r="G268" s="9" t="s">
        <v>454</v>
      </c>
      <c r="H268" s="10" t="s">
        <v>454</v>
      </c>
      <c r="I268" s="10" t="s">
        <v>454</v>
      </c>
      <c r="J268" s="10" t="s">
        <v>455</v>
      </c>
      <c r="K268" s="11">
        <v>1</v>
      </c>
      <c r="L268" s="11"/>
      <c r="M268" s="7" t="s">
        <v>727</v>
      </c>
      <c r="O268" s="4">
        <f t="shared" si="4"/>
        <v>0</v>
      </c>
    </row>
    <row r="269" spans="1:15" ht="43.5" x14ac:dyDescent="0.35">
      <c r="A269" s="7">
        <v>267</v>
      </c>
      <c r="B269" s="8" t="s">
        <v>311</v>
      </c>
      <c r="C269" s="8" t="s">
        <v>302</v>
      </c>
      <c r="D269" s="8" t="s">
        <v>693</v>
      </c>
      <c r="E269" s="8" t="s">
        <v>374</v>
      </c>
      <c r="F269" s="8" t="s">
        <v>697</v>
      </c>
      <c r="G269" s="9" t="s">
        <v>454</v>
      </c>
      <c r="H269" s="10" t="s">
        <v>454</v>
      </c>
      <c r="I269" s="10" t="s">
        <v>454</v>
      </c>
      <c r="J269" s="10" t="s">
        <v>455</v>
      </c>
      <c r="K269" s="11">
        <v>1</v>
      </c>
      <c r="L269" s="11"/>
      <c r="M269" s="7" t="s">
        <v>727</v>
      </c>
      <c r="O269" s="4">
        <f t="shared" si="4"/>
        <v>0</v>
      </c>
    </row>
    <row r="270" spans="1:15" ht="43.5" x14ac:dyDescent="0.35">
      <c r="A270" s="7">
        <v>268</v>
      </c>
      <c r="B270" s="8" t="s">
        <v>312</v>
      </c>
      <c r="C270" s="8" t="s">
        <v>302</v>
      </c>
      <c r="D270" s="8" t="s">
        <v>693</v>
      </c>
      <c r="E270" s="8" t="s">
        <v>450</v>
      </c>
      <c r="F270" s="8" t="s">
        <v>699</v>
      </c>
      <c r="G270" s="9" t="s">
        <v>454</v>
      </c>
      <c r="H270" s="10" t="s">
        <v>454</v>
      </c>
      <c r="I270" s="10" t="s">
        <v>454</v>
      </c>
      <c r="J270" s="10" t="s">
        <v>455</v>
      </c>
      <c r="K270" s="11">
        <v>1</v>
      </c>
      <c r="L270" s="11"/>
      <c r="M270" s="7" t="s">
        <v>727</v>
      </c>
      <c r="O270" s="4">
        <f t="shared" si="4"/>
        <v>0</v>
      </c>
    </row>
    <row r="271" spans="1:15" ht="43.5" x14ac:dyDescent="0.35">
      <c r="A271" s="7">
        <v>269</v>
      </c>
      <c r="B271" s="8" t="s">
        <v>313</v>
      </c>
      <c r="C271" s="8" t="s">
        <v>302</v>
      </c>
      <c r="D271" s="8" t="s">
        <v>693</v>
      </c>
      <c r="E271" s="8" t="s">
        <v>700</v>
      </c>
      <c r="F271" s="8" t="s">
        <v>701</v>
      </c>
      <c r="G271" s="9" t="s">
        <v>454</v>
      </c>
      <c r="H271" s="10" t="s">
        <v>454</v>
      </c>
      <c r="I271" s="10" t="s">
        <v>454</v>
      </c>
      <c r="J271" s="10" t="s">
        <v>455</v>
      </c>
      <c r="K271" s="11">
        <v>1</v>
      </c>
      <c r="L271" s="11"/>
      <c r="M271" s="7" t="s">
        <v>727</v>
      </c>
      <c r="O271" s="4">
        <f t="shared" si="4"/>
        <v>0</v>
      </c>
    </row>
    <row r="272" spans="1:15" ht="43.5" x14ac:dyDescent="0.35">
      <c r="A272" s="7">
        <v>270</v>
      </c>
      <c r="B272" s="8" t="s">
        <v>314</v>
      </c>
      <c r="C272" s="8" t="s">
        <v>302</v>
      </c>
      <c r="D272" s="8" t="s">
        <v>693</v>
      </c>
      <c r="E272" s="8" t="s">
        <v>554</v>
      </c>
      <c r="F272" s="8" t="s">
        <v>702</v>
      </c>
      <c r="G272" s="9" t="s">
        <v>454</v>
      </c>
      <c r="H272" s="10" t="s">
        <v>454</v>
      </c>
      <c r="I272" s="10" t="s">
        <v>454</v>
      </c>
      <c r="J272" s="10" t="s">
        <v>455</v>
      </c>
      <c r="K272" s="11">
        <v>1</v>
      </c>
      <c r="L272" s="11"/>
      <c r="M272" s="7" t="s">
        <v>727</v>
      </c>
      <c r="O272" s="4">
        <f t="shared" si="4"/>
        <v>0</v>
      </c>
    </row>
    <row r="273" spans="1:15" ht="43.5" x14ac:dyDescent="0.35">
      <c r="A273" s="7">
        <v>271</v>
      </c>
      <c r="B273" s="8" t="s">
        <v>315</v>
      </c>
      <c r="C273" s="8" t="s">
        <v>302</v>
      </c>
      <c r="D273" s="8" t="s">
        <v>693</v>
      </c>
      <c r="E273" s="8" t="s">
        <v>364</v>
      </c>
      <c r="F273" s="8" t="s">
        <v>703</v>
      </c>
      <c r="G273" s="9" t="s">
        <v>454</v>
      </c>
      <c r="H273" s="10" t="s">
        <v>454</v>
      </c>
      <c r="I273" s="10" t="s">
        <v>454</v>
      </c>
      <c r="J273" s="10" t="s">
        <v>455</v>
      </c>
      <c r="K273" s="11">
        <v>1</v>
      </c>
      <c r="L273" s="11"/>
      <c r="M273" s="7" t="s">
        <v>727</v>
      </c>
      <c r="O273" s="4">
        <f t="shared" si="4"/>
        <v>0</v>
      </c>
    </row>
    <row r="274" spans="1:15" ht="43.5" x14ac:dyDescent="0.35">
      <c r="A274" s="7">
        <v>272</v>
      </c>
      <c r="B274" s="8" t="s">
        <v>316</v>
      </c>
      <c r="C274" s="8" t="s">
        <v>302</v>
      </c>
      <c r="D274" s="8" t="s">
        <v>693</v>
      </c>
      <c r="E274" s="8" t="s">
        <v>384</v>
      </c>
      <c r="F274" s="8" t="s">
        <v>555</v>
      </c>
      <c r="G274" s="9" t="s">
        <v>454</v>
      </c>
      <c r="H274" s="10" t="s">
        <v>454</v>
      </c>
      <c r="I274" s="10" t="s">
        <v>454</v>
      </c>
      <c r="J274" s="10" t="s">
        <v>455</v>
      </c>
      <c r="K274" s="11">
        <v>1</v>
      </c>
      <c r="L274" s="11"/>
      <c r="M274" s="7" t="s">
        <v>727</v>
      </c>
      <c r="O274" s="4">
        <f t="shared" si="4"/>
        <v>0</v>
      </c>
    </row>
    <row r="275" spans="1:15" ht="43.5" x14ac:dyDescent="0.35">
      <c r="A275" s="7">
        <v>273</v>
      </c>
      <c r="B275" s="8" t="s">
        <v>317</v>
      </c>
      <c r="C275" s="8" t="s">
        <v>302</v>
      </c>
      <c r="D275" s="8" t="s">
        <v>693</v>
      </c>
      <c r="E275" s="8" t="s">
        <v>450</v>
      </c>
      <c r="F275" s="8" t="s">
        <v>704</v>
      </c>
      <c r="G275" s="9" t="s">
        <v>454</v>
      </c>
      <c r="H275" s="10" t="s">
        <v>454</v>
      </c>
      <c r="I275" s="10" t="s">
        <v>454</v>
      </c>
      <c r="J275" s="10" t="s">
        <v>455</v>
      </c>
      <c r="K275" s="11">
        <v>1</v>
      </c>
      <c r="L275" s="11"/>
      <c r="M275" s="7" t="s">
        <v>727</v>
      </c>
      <c r="O275" s="4">
        <f t="shared" si="4"/>
        <v>0</v>
      </c>
    </row>
    <row r="276" spans="1:15" ht="43.5" x14ac:dyDescent="0.35">
      <c r="A276" s="7">
        <v>274</v>
      </c>
      <c r="B276" s="8" t="s">
        <v>318</v>
      </c>
      <c r="C276" s="8" t="s">
        <v>302</v>
      </c>
      <c r="D276" s="8" t="s">
        <v>693</v>
      </c>
      <c r="E276" s="8" t="s">
        <v>369</v>
      </c>
      <c r="F276" s="8" t="s">
        <v>705</v>
      </c>
      <c r="G276" s="9" t="s">
        <v>454</v>
      </c>
      <c r="H276" s="10" t="s">
        <v>454</v>
      </c>
      <c r="I276" s="10" t="s">
        <v>454</v>
      </c>
      <c r="J276" s="10" t="s">
        <v>455</v>
      </c>
      <c r="K276" s="11">
        <v>1</v>
      </c>
      <c r="L276" s="11"/>
      <c r="M276" s="7" t="s">
        <v>727</v>
      </c>
      <c r="O276" s="4">
        <f t="shared" si="4"/>
        <v>0</v>
      </c>
    </row>
    <row r="277" spans="1:15" ht="43.5" x14ac:dyDescent="0.35">
      <c r="A277" s="7">
        <v>275</v>
      </c>
      <c r="B277" s="8" t="s">
        <v>319</v>
      </c>
      <c r="C277" s="8" t="s">
        <v>302</v>
      </c>
      <c r="D277" s="8" t="s">
        <v>693</v>
      </c>
      <c r="E277" s="8" t="s">
        <v>364</v>
      </c>
      <c r="F277" s="8" t="s">
        <v>706</v>
      </c>
      <c r="G277" s="9" t="s">
        <v>454</v>
      </c>
      <c r="H277" s="10" t="s">
        <v>454</v>
      </c>
      <c r="I277" s="10" t="s">
        <v>454</v>
      </c>
      <c r="J277" s="10" t="s">
        <v>455</v>
      </c>
      <c r="K277" s="11">
        <v>1</v>
      </c>
      <c r="L277" s="11"/>
      <c r="M277" s="7" t="s">
        <v>727</v>
      </c>
      <c r="O277" s="4">
        <f t="shared" si="4"/>
        <v>0</v>
      </c>
    </row>
    <row r="278" spans="1:15" ht="43.5" x14ac:dyDescent="0.35">
      <c r="A278" s="7">
        <v>276</v>
      </c>
      <c r="B278" s="8" t="s">
        <v>320</v>
      </c>
      <c r="C278" s="8" t="s">
        <v>302</v>
      </c>
      <c r="D278" s="8" t="s">
        <v>693</v>
      </c>
      <c r="E278" s="8" t="s">
        <v>390</v>
      </c>
      <c r="F278" s="8" t="s">
        <v>707</v>
      </c>
      <c r="G278" s="9" t="s">
        <v>454</v>
      </c>
      <c r="H278" s="10" t="s">
        <v>454</v>
      </c>
      <c r="I278" s="10" t="s">
        <v>454</v>
      </c>
      <c r="J278" s="10" t="s">
        <v>455</v>
      </c>
      <c r="K278" s="11">
        <v>1</v>
      </c>
      <c r="L278" s="11"/>
      <c r="M278" s="7" t="s">
        <v>727</v>
      </c>
      <c r="O278" s="4">
        <f t="shared" si="4"/>
        <v>0</v>
      </c>
    </row>
    <row r="279" spans="1:15" ht="43.5" x14ac:dyDescent="0.35">
      <c r="A279" s="7">
        <v>277</v>
      </c>
      <c r="B279" s="8" t="s">
        <v>321</v>
      </c>
      <c r="C279" s="8" t="s">
        <v>302</v>
      </c>
      <c r="D279" s="8" t="s">
        <v>693</v>
      </c>
      <c r="E279" s="8" t="s">
        <v>396</v>
      </c>
      <c r="F279" s="8" t="s">
        <v>658</v>
      </c>
      <c r="G279" s="9" t="s">
        <v>454</v>
      </c>
      <c r="H279" s="10" t="s">
        <v>454</v>
      </c>
      <c r="I279" s="10" t="s">
        <v>454</v>
      </c>
      <c r="J279" s="10" t="s">
        <v>455</v>
      </c>
      <c r="K279" s="11">
        <v>1</v>
      </c>
      <c r="L279" s="11"/>
      <c r="M279" s="7" t="s">
        <v>727</v>
      </c>
      <c r="O279" s="4">
        <f t="shared" si="4"/>
        <v>0</v>
      </c>
    </row>
    <row r="280" spans="1:15" ht="43.5" x14ac:dyDescent="0.35">
      <c r="A280" s="7">
        <v>278</v>
      </c>
      <c r="B280" s="8" t="s">
        <v>322</v>
      </c>
      <c r="C280" s="8" t="s">
        <v>302</v>
      </c>
      <c r="D280" s="8" t="s">
        <v>693</v>
      </c>
      <c r="E280" s="8" t="s">
        <v>708</v>
      </c>
      <c r="F280" s="8" t="s">
        <v>709</v>
      </c>
      <c r="G280" s="9" t="s">
        <v>454</v>
      </c>
      <c r="H280" s="10" t="s">
        <v>454</v>
      </c>
      <c r="I280" s="10" t="s">
        <v>454</v>
      </c>
      <c r="J280" s="10" t="s">
        <v>455</v>
      </c>
      <c r="K280" s="11">
        <v>1</v>
      </c>
      <c r="L280" s="11"/>
      <c r="M280" s="7" t="s">
        <v>727</v>
      </c>
      <c r="O280" s="4">
        <f t="shared" si="4"/>
        <v>0</v>
      </c>
    </row>
    <row r="281" spans="1:15" ht="43.5" x14ac:dyDescent="0.35">
      <c r="A281" s="7">
        <v>279</v>
      </c>
      <c r="B281" s="8" t="s">
        <v>323</v>
      </c>
      <c r="C281" s="8" t="s">
        <v>302</v>
      </c>
      <c r="D281" s="8" t="s">
        <v>693</v>
      </c>
      <c r="E281" s="8" t="s">
        <v>384</v>
      </c>
      <c r="F281" s="8" t="s">
        <v>555</v>
      </c>
      <c r="G281" s="9" t="s">
        <v>454</v>
      </c>
      <c r="H281" s="10" t="s">
        <v>454</v>
      </c>
      <c r="I281" s="10" t="s">
        <v>454</v>
      </c>
      <c r="J281" s="10" t="s">
        <v>455</v>
      </c>
      <c r="K281" s="11">
        <v>1</v>
      </c>
      <c r="L281" s="11"/>
      <c r="M281" s="7" t="s">
        <v>727</v>
      </c>
      <c r="O281" s="4">
        <f t="shared" si="4"/>
        <v>0</v>
      </c>
    </row>
    <row r="282" spans="1:15" ht="43.5" x14ac:dyDescent="0.35">
      <c r="A282" s="7">
        <v>280</v>
      </c>
      <c r="B282" s="8" t="s">
        <v>324</v>
      </c>
      <c r="C282" s="8" t="s">
        <v>302</v>
      </c>
      <c r="D282" s="8" t="s">
        <v>693</v>
      </c>
      <c r="E282" s="8" t="s">
        <v>378</v>
      </c>
      <c r="F282" s="8" t="s">
        <v>710</v>
      </c>
      <c r="G282" s="9" t="s">
        <v>454</v>
      </c>
      <c r="H282" s="10" t="s">
        <v>454</v>
      </c>
      <c r="I282" s="10" t="s">
        <v>454</v>
      </c>
      <c r="J282" s="10" t="s">
        <v>455</v>
      </c>
      <c r="K282" s="11">
        <v>1</v>
      </c>
      <c r="L282" s="11"/>
      <c r="M282" s="7" t="s">
        <v>727</v>
      </c>
      <c r="O282" s="4">
        <f t="shared" si="4"/>
        <v>0</v>
      </c>
    </row>
    <row r="283" spans="1:15" ht="43.5" x14ac:dyDescent="0.35">
      <c r="A283" s="7">
        <v>281</v>
      </c>
      <c r="B283" s="8" t="s">
        <v>325</v>
      </c>
      <c r="C283" s="8" t="s">
        <v>302</v>
      </c>
      <c r="D283" s="8" t="s">
        <v>693</v>
      </c>
      <c r="E283" s="8" t="s">
        <v>384</v>
      </c>
      <c r="F283" s="8" t="s">
        <v>555</v>
      </c>
      <c r="G283" s="9" t="s">
        <v>454</v>
      </c>
      <c r="H283" s="10" t="s">
        <v>454</v>
      </c>
      <c r="I283" s="10" t="s">
        <v>454</v>
      </c>
      <c r="J283" s="10" t="s">
        <v>455</v>
      </c>
      <c r="K283" s="11">
        <v>1</v>
      </c>
      <c r="L283" s="11"/>
      <c r="M283" s="7" t="s">
        <v>727</v>
      </c>
      <c r="O283" s="4">
        <f t="shared" si="4"/>
        <v>0</v>
      </c>
    </row>
    <row r="284" spans="1:15" ht="43.5" x14ac:dyDescent="0.35">
      <c r="A284" s="7">
        <v>282</v>
      </c>
      <c r="B284" s="8" t="s">
        <v>326</v>
      </c>
      <c r="C284" s="8" t="s">
        <v>302</v>
      </c>
      <c r="D284" s="8" t="s">
        <v>693</v>
      </c>
      <c r="E284" s="8" t="s">
        <v>369</v>
      </c>
      <c r="F284" s="8" t="s">
        <v>685</v>
      </c>
      <c r="G284" s="9" t="s">
        <v>454</v>
      </c>
      <c r="H284" s="10" t="s">
        <v>454</v>
      </c>
      <c r="I284" s="10" t="s">
        <v>454</v>
      </c>
      <c r="J284" s="10" t="s">
        <v>455</v>
      </c>
      <c r="K284" s="11">
        <v>1</v>
      </c>
      <c r="L284" s="11"/>
      <c r="M284" s="7" t="s">
        <v>727</v>
      </c>
      <c r="O284" s="4">
        <f t="shared" si="4"/>
        <v>0</v>
      </c>
    </row>
    <row r="285" spans="1:15" ht="29" x14ac:dyDescent="0.35">
      <c r="A285" s="7">
        <v>283</v>
      </c>
      <c r="B285" s="12" t="s">
        <v>327</v>
      </c>
      <c r="C285" s="8" t="s">
        <v>178</v>
      </c>
      <c r="D285" s="12" t="s">
        <v>724</v>
      </c>
      <c r="E285" s="12" t="s">
        <v>398</v>
      </c>
      <c r="F285" s="8" t="s">
        <v>344</v>
      </c>
      <c r="G285" s="9" t="s">
        <v>454</v>
      </c>
      <c r="H285" s="10" t="s">
        <v>454</v>
      </c>
      <c r="I285" s="13">
        <v>0</v>
      </c>
      <c r="J285" s="10" t="s">
        <v>455</v>
      </c>
      <c r="K285" s="11"/>
      <c r="L285" s="11">
        <v>1</v>
      </c>
      <c r="M285" s="7"/>
      <c r="O285" s="4">
        <f t="shared" si="4"/>
        <v>0</v>
      </c>
    </row>
    <row r="286" spans="1:15" ht="29" x14ac:dyDescent="0.35">
      <c r="A286" s="7">
        <v>284</v>
      </c>
      <c r="B286" s="8" t="s">
        <v>328</v>
      </c>
      <c r="C286" s="8" t="s">
        <v>9</v>
      </c>
      <c r="D286" s="8" t="s">
        <v>711</v>
      </c>
      <c r="E286" s="8" t="s">
        <v>464</v>
      </c>
      <c r="F286" s="8" t="s">
        <v>344</v>
      </c>
      <c r="G286" s="9" t="s">
        <v>454</v>
      </c>
      <c r="H286" s="10" t="s">
        <v>454</v>
      </c>
      <c r="I286" s="10" t="s">
        <v>454</v>
      </c>
      <c r="J286" s="10" t="s">
        <v>454</v>
      </c>
      <c r="K286" s="11">
        <v>1</v>
      </c>
      <c r="L286" s="11"/>
      <c r="M286" s="7" t="s">
        <v>727</v>
      </c>
      <c r="O286" s="4">
        <f t="shared" si="4"/>
        <v>1</v>
      </c>
    </row>
    <row r="287" spans="1:15" ht="29" x14ac:dyDescent="0.35">
      <c r="A287" s="7">
        <v>285</v>
      </c>
      <c r="B287" s="8" t="s">
        <v>329</v>
      </c>
      <c r="C287" s="8" t="s">
        <v>330</v>
      </c>
      <c r="D287" s="8" t="s">
        <v>711</v>
      </c>
      <c r="E287" s="8" t="s">
        <v>464</v>
      </c>
      <c r="F287" s="8" t="s">
        <v>712</v>
      </c>
      <c r="G287" s="9" t="s">
        <v>454</v>
      </c>
      <c r="H287" s="10" t="s">
        <v>454</v>
      </c>
      <c r="I287" s="10" t="s">
        <v>454</v>
      </c>
      <c r="J287" s="10" t="s">
        <v>454</v>
      </c>
      <c r="K287" s="11">
        <v>1</v>
      </c>
      <c r="L287" s="11"/>
      <c r="M287" s="7" t="s">
        <v>727</v>
      </c>
      <c r="O287" s="4">
        <f t="shared" si="4"/>
        <v>1</v>
      </c>
    </row>
    <row r="288" spans="1:15" ht="58" x14ac:dyDescent="0.35">
      <c r="A288" s="7">
        <v>286</v>
      </c>
      <c r="B288" s="8" t="s">
        <v>331</v>
      </c>
      <c r="C288" s="8" t="s">
        <v>330</v>
      </c>
      <c r="D288" s="8" t="s">
        <v>711</v>
      </c>
      <c r="E288" s="8" t="s">
        <v>464</v>
      </c>
      <c r="F288" s="8" t="s">
        <v>713</v>
      </c>
      <c r="G288" s="9" t="s">
        <v>454</v>
      </c>
      <c r="H288" s="10" t="s">
        <v>454</v>
      </c>
      <c r="I288" s="10" t="s">
        <v>454</v>
      </c>
      <c r="J288" s="10" t="s">
        <v>455</v>
      </c>
      <c r="K288" s="11">
        <v>1</v>
      </c>
      <c r="L288" s="11"/>
      <c r="M288" s="7" t="s">
        <v>727</v>
      </c>
      <c r="O288" s="4">
        <f t="shared" si="4"/>
        <v>0</v>
      </c>
    </row>
    <row r="289" spans="1:15" ht="58" x14ac:dyDescent="0.35">
      <c r="A289" s="7">
        <v>287</v>
      </c>
      <c r="B289" s="8" t="s">
        <v>332</v>
      </c>
      <c r="C289" s="8" t="s">
        <v>330</v>
      </c>
      <c r="D289" s="8" t="s">
        <v>711</v>
      </c>
      <c r="E289" s="8" t="s">
        <v>464</v>
      </c>
      <c r="F289" s="8" t="s">
        <v>714</v>
      </c>
      <c r="G289" s="9" t="s">
        <v>454</v>
      </c>
      <c r="H289" s="10" t="s">
        <v>454</v>
      </c>
      <c r="I289" s="10" t="s">
        <v>454</v>
      </c>
      <c r="J289" s="10" t="s">
        <v>455</v>
      </c>
      <c r="K289" s="11">
        <v>1</v>
      </c>
      <c r="L289" s="11"/>
      <c r="M289" s="7" t="s">
        <v>727</v>
      </c>
      <c r="O289" s="4">
        <f t="shared" si="4"/>
        <v>0</v>
      </c>
    </row>
    <row r="290" spans="1:15" ht="43.5" x14ac:dyDescent="0.35">
      <c r="A290" s="7">
        <v>288</v>
      </c>
      <c r="B290" s="8" t="s">
        <v>333</v>
      </c>
      <c r="C290" s="8" t="s">
        <v>330</v>
      </c>
      <c r="D290" s="8" t="s">
        <v>711</v>
      </c>
      <c r="E290" s="8" t="s">
        <v>441</v>
      </c>
      <c r="F290" s="8" t="s">
        <v>715</v>
      </c>
      <c r="G290" s="9" t="s">
        <v>454</v>
      </c>
      <c r="H290" s="10" t="s">
        <v>454</v>
      </c>
      <c r="I290" s="10" t="s">
        <v>454</v>
      </c>
      <c r="J290" s="10" t="s">
        <v>455</v>
      </c>
      <c r="K290" s="11">
        <v>1</v>
      </c>
      <c r="L290" s="11"/>
      <c r="M290" s="7" t="s">
        <v>727</v>
      </c>
      <c r="O290" s="4">
        <f t="shared" si="4"/>
        <v>0</v>
      </c>
    </row>
    <row r="291" spans="1:15" ht="29" x14ac:dyDescent="0.35">
      <c r="A291" s="7">
        <v>289</v>
      </c>
      <c r="B291" s="8" t="s">
        <v>334</v>
      </c>
      <c r="C291" s="8" t="s">
        <v>330</v>
      </c>
      <c r="D291" s="8" t="s">
        <v>711</v>
      </c>
      <c r="E291" s="8" t="s">
        <v>441</v>
      </c>
      <c r="F291" s="8" t="s">
        <v>523</v>
      </c>
      <c r="G291" s="9" t="s">
        <v>454</v>
      </c>
      <c r="H291" s="10" t="s">
        <v>454</v>
      </c>
      <c r="I291" s="10" t="s">
        <v>454</v>
      </c>
      <c r="J291" s="10" t="s">
        <v>455</v>
      </c>
      <c r="K291" s="11">
        <v>1</v>
      </c>
      <c r="L291" s="11"/>
      <c r="M291" s="7" t="s">
        <v>727</v>
      </c>
      <c r="O291" s="4">
        <f t="shared" si="4"/>
        <v>0</v>
      </c>
    </row>
    <row r="292" spans="1:15" ht="29" x14ac:dyDescent="0.35">
      <c r="A292" s="7">
        <v>290</v>
      </c>
      <c r="B292" s="8" t="s">
        <v>335</v>
      </c>
      <c r="C292" s="8" t="s">
        <v>330</v>
      </c>
      <c r="D292" s="8" t="s">
        <v>711</v>
      </c>
      <c r="E292" s="8" t="s">
        <v>450</v>
      </c>
      <c r="F292" s="8" t="s">
        <v>519</v>
      </c>
      <c r="G292" s="9" t="s">
        <v>454</v>
      </c>
      <c r="H292" s="10" t="s">
        <v>454</v>
      </c>
      <c r="I292" s="10" t="s">
        <v>454</v>
      </c>
      <c r="J292" s="10" t="s">
        <v>455</v>
      </c>
      <c r="K292" s="11">
        <v>1</v>
      </c>
      <c r="L292" s="11"/>
      <c r="M292" s="7" t="s">
        <v>727</v>
      </c>
      <c r="O292" s="4">
        <f t="shared" si="4"/>
        <v>0</v>
      </c>
    </row>
    <row r="293" spans="1:15" ht="29" x14ac:dyDescent="0.35">
      <c r="A293" s="7">
        <v>291</v>
      </c>
      <c r="B293" s="8" t="s">
        <v>336</v>
      </c>
      <c r="C293" s="8" t="s">
        <v>330</v>
      </c>
      <c r="D293" s="8" t="s">
        <v>711</v>
      </c>
      <c r="E293" s="8" t="s">
        <v>386</v>
      </c>
      <c r="F293" s="8" t="s">
        <v>716</v>
      </c>
      <c r="G293" s="9" t="s">
        <v>454</v>
      </c>
      <c r="H293" s="10" t="s">
        <v>454</v>
      </c>
      <c r="I293" s="10" t="s">
        <v>454</v>
      </c>
      <c r="J293" s="10" t="s">
        <v>455</v>
      </c>
      <c r="K293" s="11">
        <v>1</v>
      </c>
      <c r="L293" s="11"/>
      <c r="M293" s="7" t="s">
        <v>727</v>
      </c>
      <c r="O293" s="4">
        <f t="shared" si="4"/>
        <v>0</v>
      </c>
    </row>
    <row r="294" spans="1:15" ht="29" x14ac:dyDescent="0.35">
      <c r="A294" s="7">
        <v>292</v>
      </c>
      <c r="B294" s="8" t="s">
        <v>337</v>
      </c>
      <c r="C294" s="8" t="s">
        <v>330</v>
      </c>
      <c r="D294" s="8" t="s">
        <v>711</v>
      </c>
      <c r="E294" s="8" t="s">
        <v>361</v>
      </c>
      <c r="F294" s="8" t="s">
        <v>717</v>
      </c>
      <c r="G294" s="9" t="s">
        <v>454</v>
      </c>
      <c r="H294" s="10" t="s">
        <v>454</v>
      </c>
      <c r="I294" s="10" t="s">
        <v>454</v>
      </c>
      <c r="J294" s="10" t="s">
        <v>455</v>
      </c>
      <c r="K294" s="11">
        <v>1</v>
      </c>
      <c r="L294" s="11"/>
      <c r="M294" s="7" t="s">
        <v>727</v>
      </c>
      <c r="O294" s="4">
        <f t="shared" si="4"/>
        <v>0</v>
      </c>
    </row>
    <row r="295" spans="1:15" ht="29" x14ac:dyDescent="0.35">
      <c r="A295" s="7">
        <v>293</v>
      </c>
      <c r="B295" s="8" t="s">
        <v>338</v>
      </c>
      <c r="C295" s="8" t="s">
        <v>330</v>
      </c>
      <c r="D295" s="8" t="s">
        <v>711</v>
      </c>
      <c r="E295" s="8" t="s">
        <v>352</v>
      </c>
      <c r="F295" s="8" t="s">
        <v>581</v>
      </c>
      <c r="G295" s="9" t="s">
        <v>454</v>
      </c>
      <c r="H295" s="10" t="s">
        <v>454</v>
      </c>
      <c r="I295" s="10" t="s">
        <v>454</v>
      </c>
      <c r="J295" s="10" t="s">
        <v>455</v>
      </c>
      <c r="K295" s="11">
        <v>1</v>
      </c>
      <c r="L295" s="11"/>
      <c r="M295" s="7" t="s">
        <v>727</v>
      </c>
      <c r="O295" s="4">
        <f t="shared" si="4"/>
        <v>0</v>
      </c>
    </row>
    <row r="296" spans="1:15" ht="29" x14ac:dyDescent="0.35">
      <c r="A296" s="7">
        <v>294</v>
      </c>
      <c r="B296" s="8" t="s">
        <v>339</v>
      </c>
      <c r="C296" s="8" t="s">
        <v>330</v>
      </c>
      <c r="D296" s="8" t="s">
        <v>711</v>
      </c>
      <c r="E296" s="8" t="s">
        <v>354</v>
      </c>
      <c r="F296" s="8" t="s">
        <v>651</v>
      </c>
      <c r="G296" s="9" t="s">
        <v>454</v>
      </c>
      <c r="H296" s="10" t="s">
        <v>454</v>
      </c>
      <c r="I296" s="10" t="s">
        <v>454</v>
      </c>
      <c r="J296" s="10" t="s">
        <v>455</v>
      </c>
      <c r="K296" s="11">
        <v>1</v>
      </c>
      <c r="L296" s="11"/>
      <c r="M296" s="7" t="s">
        <v>727</v>
      </c>
      <c r="O296" s="4">
        <f t="shared" si="4"/>
        <v>0</v>
      </c>
    </row>
    <row r="297" spans="1:15" ht="29" x14ac:dyDescent="0.35">
      <c r="A297" s="7">
        <v>295</v>
      </c>
      <c r="B297" s="8" t="s">
        <v>340</v>
      </c>
      <c r="C297" s="8" t="s">
        <v>330</v>
      </c>
      <c r="D297" s="8" t="s">
        <v>711</v>
      </c>
      <c r="E297" s="8" t="s">
        <v>352</v>
      </c>
      <c r="F297" s="8" t="s">
        <v>581</v>
      </c>
      <c r="G297" s="9" t="s">
        <v>454</v>
      </c>
      <c r="H297" s="10" t="s">
        <v>454</v>
      </c>
      <c r="I297" s="10" t="s">
        <v>454</v>
      </c>
      <c r="J297" s="10" t="s">
        <v>455</v>
      </c>
      <c r="K297" s="11">
        <v>1</v>
      </c>
      <c r="L297" s="11"/>
      <c r="M297" s="7" t="s">
        <v>727</v>
      </c>
      <c r="O297" s="4">
        <f t="shared" si="4"/>
        <v>0</v>
      </c>
    </row>
    <row r="298" spans="1:15" ht="29" x14ac:dyDescent="0.35">
      <c r="A298" s="7">
        <v>296</v>
      </c>
      <c r="B298" s="8" t="s">
        <v>341</v>
      </c>
      <c r="C298" s="8" t="s">
        <v>330</v>
      </c>
      <c r="D298" s="8" t="s">
        <v>711</v>
      </c>
      <c r="E298" s="8" t="s">
        <v>464</v>
      </c>
      <c r="F298" s="8" t="s">
        <v>718</v>
      </c>
      <c r="G298" s="9" t="s">
        <v>454</v>
      </c>
      <c r="H298" s="10" t="s">
        <v>454</v>
      </c>
      <c r="I298" s="10" t="s">
        <v>454</v>
      </c>
      <c r="J298" s="10" t="s">
        <v>455</v>
      </c>
      <c r="K298" s="11">
        <v>1</v>
      </c>
      <c r="L298" s="11"/>
      <c r="M298" s="7" t="s">
        <v>727</v>
      </c>
      <c r="O298" s="4">
        <f t="shared" si="4"/>
        <v>0</v>
      </c>
    </row>
    <row r="299" spans="1:15" ht="29" x14ac:dyDescent="0.35">
      <c r="A299" s="7">
        <v>297</v>
      </c>
      <c r="B299" s="8" t="s">
        <v>342</v>
      </c>
      <c r="C299" s="8" t="s">
        <v>330</v>
      </c>
      <c r="D299" s="8" t="s">
        <v>711</v>
      </c>
      <c r="E299" s="8" t="s">
        <v>450</v>
      </c>
      <c r="F299" s="8" t="s">
        <v>719</v>
      </c>
      <c r="G299" s="9" t="s">
        <v>454</v>
      </c>
      <c r="H299" s="10" t="s">
        <v>454</v>
      </c>
      <c r="I299" s="10" t="s">
        <v>454</v>
      </c>
      <c r="J299" s="10" t="s">
        <v>455</v>
      </c>
      <c r="K299" s="11">
        <v>1</v>
      </c>
      <c r="L299" s="11"/>
      <c r="M299" s="7" t="s">
        <v>727</v>
      </c>
      <c r="O299" s="4">
        <f t="shared" si="4"/>
        <v>0</v>
      </c>
    </row>
    <row r="300" spans="1:15" ht="29" x14ac:dyDescent="0.35">
      <c r="A300" s="7">
        <v>298</v>
      </c>
      <c r="B300" s="8" t="s">
        <v>343</v>
      </c>
      <c r="C300" s="8" t="s">
        <v>330</v>
      </c>
      <c r="D300" s="8" t="s">
        <v>711</v>
      </c>
      <c r="E300" s="8" t="s">
        <v>464</v>
      </c>
      <c r="F300" s="8" t="s">
        <v>344</v>
      </c>
      <c r="G300" s="9" t="s">
        <v>454</v>
      </c>
      <c r="H300" s="10" t="s">
        <v>454</v>
      </c>
      <c r="I300" s="10" t="s">
        <v>454</v>
      </c>
      <c r="J300" s="10" t="s">
        <v>455</v>
      </c>
      <c r="K300" s="11">
        <v>1</v>
      </c>
      <c r="L300" s="11"/>
      <c r="M300" s="7" t="s">
        <v>727</v>
      </c>
      <c r="O300" s="4">
        <f t="shared" si="4"/>
        <v>0</v>
      </c>
    </row>
    <row r="301" spans="1:15" x14ac:dyDescent="0.35">
      <c r="A301" s="7">
        <v>299</v>
      </c>
      <c r="B301" s="15" t="s">
        <v>345</v>
      </c>
      <c r="C301" s="15"/>
      <c r="D301" s="14"/>
      <c r="E301" s="14"/>
      <c r="F301" s="14"/>
      <c r="G301" s="16" t="s">
        <v>455</v>
      </c>
      <c r="H301" s="16" t="s">
        <v>455</v>
      </c>
      <c r="I301" s="16" t="s">
        <v>455</v>
      </c>
      <c r="J301" s="16" t="s">
        <v>454</v>
      </c>
      <c r="K301" s="17"/>
      <c r="L301" s="17">
        <v>1</v>
      </c>
      <c r="M301" s="14" t="s">
        <v>2</v>
      </c>
      <c r="O301" s="4">
        <v>1</v>
      </c>
    </row>
    <row r="302" spans="1:15" x14ac:dyDescent="0.35">
      <c r="A302" s="7">
        <v>300</v>
      </c>
      <c r="B302" s="15" t="s">
        <v>346</v>
      </c>
      <c r="C302" s="15"/>
      <c r="D302" s="14"/>
      <c r="E302" s="14"/>
      <c r="F302" s="14"/>
      <c r="G302" s="16" t="s">
        <v>455</v>
      </c>
      <c r="H302" s="16" t="s">
        <v>455</v>
      </c>
      <c r="I302" s="16" t="s">
        <v>455</v>
      </c>
      <c r="J302" s="16" t="s">
        <v>454</v>
      </c>
      <c r="K302" s="17"/>
      <c r="L302" s="17">
        <v>1</v>
      </c>
      <c r="M302" s="14" t="s">
        <v>2</v>
      </c>
      <c r="O302" s="4">
        <v>2</v>
      </c>
    </row>
    <row r="303" spans="1:15" x14ac:dyDescent="0.35">
      <c r="A303" s="7">
        <v>301</v>
      </c>
      <c r="B303" s="15" t="s">
        <v>347</v>
      </c>
      <c r="C303" s="15"/>
      <c r="D303" s="14"/>
      <c r="E303" s="14"/>
      <c r="F303" s="14"/>
      <c r="G303" s="16" t="s">
        <v>455</v>
      </c>
      <c r="H303" s="16" t="s">
        <v>455</v>
      </c>
      <c r="I303" s="16" t="s">
        <v>455</v>
      </c>
      <c r="J303" s="16" t="s">
        <v>454</v>
      </c>
      <c r="K303" s="17"/>
      <c r="L303" s="17">
        <v>1</v>
      </c>
      <c r="M303" s="14" t="s">
        <v>2</v>
      </c>
      <c r="O303" s="4">
        <v>3</v>
      </c>
    </row>
    <row r="304" spans="1:15" x14ac:dyDescent="0.35">
      <c r="A304" s="7">
        <v>302</v>
      </c>
      <c r="B304" s="15" t="s">
        <v>348</v>
      </c>
      <c r="C304" s="15"/>
      <c r="D304" s="14"/>
      <c r="E304" s="14"/>
      <c r="F304" s="14"/>
      <c r="G304" s="16" t="s">
        <v>455</v>
      </c>
      <c r="H304" s="16" t="s">
        <v>455</v>
      </c>
      <c r="I304" s="16" t="s">
        <v>455</v>
      </c>
      <c r="J304" s="16" t="s">
        <v>454</v>
      </c>
      <c r="K304" s="17"/>
      <c r="L304" s="17">
        <v>1</v>
      </c>
      <c r="M304" s="14" t="s">
        <v>2</v>
      </c>
      <c r="O304" s="4">
        <v>4</v>
      </c>
    </row>
    <row r="305" spans="1:15" ht="29" x14ac:dyDescent="0.35">
      <c r="A305" s="7">
        <v>303</v>
      </c>
      <c r="B305" s="15" t="s">
        <v>349</v>
      </c>
      <c r="C305" s="15"/>
      <c r="D305" s="14"/>
      <c r="E305" s="14"/>
      <c r="F305" s="14"/>
      <c r="G305" s="16" t="s">
        <v>455</v>
      </c>
      <c r="H305" s="16" t="s">
        <v>455</v>
      </c>
      <c r="I305" s="16" t="s">
        <v>455</v>
      </c>
      <c r="J305" s="16" t="s">
        <v>454</v>
      </c>
      <c r="K305" s="17"/>
      <c r="L305" s="17">
        <v>1</v>
      </c>
      <c r="M305" s="14" t="s">
        <v>2</v>
      </c>
      <c r="O305" s="4">
        <v>5</v>
      </c>
    </row>
    <row r="306" spans="1:15" x14ac:dyDescent="0.35">
      <c r="A306" s="7">
        <v>304</v>
      </c>
      <c r="B306" s="15" t="s">
        <v>350</v>
      </c>
      <c r="C306" s="15"/>
      <c r="D306" s="14"/>
      <c r="E306" s="14"/>
      <c r="F306" s="14"/>
      <c r="G306" s="16" t="s">
        <v>455</v>
      </c>
      <c r="H306" s="16" t="s">
        <v>455</v>
      </c>
      <c r="I306" s="16" t="s">
        <v>455</v>
      </c>
      <c r="J306" s="16" t="s">
        <v>454</v>
      </c>
      <c r="K306" s="17"/>
      <c r="L306" s="17">
        <v>1</v>
      </c>
      <c r="M306" s="14" t="s">
        <v>2</v>
      </c>
      <c r="O306" s="4">
        <v>6</v>
      </c>
    </row>
    <row r="307" spans="1:15" ht="29" x14ac:dyDescent="0.35">
      <c r="A307" s="7">
        <v>305</v>
      </c>
      <c r="B307" s="15" t="s">
        <v>351</v>
      </c>
      <c r="C307" s="15"/>
      <c r="D307" s="14"/>
      <c r="E307" s="14"/>
      <c r="F307" s="14"/>
      <c r="G307" s="16" t="s">
        <v>455</v>
      </c>
      <c r="H307" s="16" t="s">
        <v>455</v>
      </c>
      <c r="I307" s="16" t="s">
        <v>455</v>
      </c>
      <c r="J307" s="16" t="s">
        <v>454</v>
      </c>
      <c r="K307" s="17"/>
      <c r="L307" s="17">
        <v>1</v>
      </c>
      <c r="M307" s="14" t="s">
        <v>2</v>
      </c>
      <c r="O307" s="4">
        <v>7</v>
      </c>
    </row>
    <row r="308" spans="1:15" x14ac:dyDescent="0.35">
      <c r="A308" s="7">
        <v>306</v>
      </c>
      <c r="B308" s="15" t="s">
        <v>353</v>
      </c>
      <c r="C308" s="15"/>
      <c r="D308" s="14"/>
      <c r="E308" s="14" t="s">
        <v>354</v>
      </c>
      <c r="F308" s="14"/>
      <c r="G308" s="16" t="s">
        <v>455</v>
      </c>
      <c r="H308" s="16" t="s">
        <v>455</v>
      </c>
      <c r="I308" s="16" t="s">
        <v>455</v>
      </c>
      <c r="J308" s="16" t="s">
        <v>454</v>
      </c>
      <c r="K308" s="17"/>
      <c r="L308" s="17">
        <v>1</v>
      </c>
      <c r="M308" s="14" t="s">
        <v>2</v>
      </c>
      <c r="O308" s="4">
        <v>8</v>
      </c>
    </row>
    <row r="309" spans="1:15" ht="29" x14ac:dyDescent="0.35">
      <c r="A309" s="7">
        <v>307</v>
      </c>
      <c r="B309" s="15" t="s">
        <v>355</v>
      </c>
      <c r="C309" s="15"/>
      <c r="D309" s="14"/>
      <c r="E309" s="14" t="s">
        <v>356</v>
      </c>
      <c r="F309" s="14"/>
      <c r="G309" s="16" t="s">
        <v>455</v>
      </c>
      <c r="H309" s="16" t="s">
        <v>455</v>
      </c>
      <c r="I309" s="16" t="s">
        <v>455</v>
      </c>
      <c r="J309" s="16" t="s">
        <v>454</v>
      </c>
      <c r="K309" s="17"/>
      <c r="L309" s="17">
        <v>1</v>
      </c>
      <c r="M309" s="14" t="s">
        <v>2</v>
      </c>
      <c r="O309" s="4">
        <v>9</v>
      </c>
    </row>
    <row r="310" spans="1:15" ht="29" x14ac:dyDescent="0.35">
      <c r="A310" s="7">
        <v>308</v>
      </c>
      <c r="B310" s="15" t="s">
        <v>357</v>
      </c>
      <c r="C310" s="15"/>
      <c r="D310" s="14"/>
      <c r="E310" s="14" t="s">
        <v>356</v>
      </c>
      <c r="F310" s="14"/>
      <c r="G310" s="16" t="s">
        <v>455</v>
      </c>
      <c r="H310" s="16" t="s">
        <v>455</v>
      </c>
      <c r="I310" s="16" t="s">
        <v>455</v>
      </c>
      <c r="J310" s="16" t="s">
        <v>454</v>
      </c>
      <c r="K310" s="17"/>
      <c r="L310" s="17">
        <v>1</v>
      </c>
      <c r="M310" s="14" t="s">
        <v>2</v>
      </c>
      <c r="O310" s="4">
        <v>10</v>
      </c>
    </row>
    <row r="311" spans="1:15" x14ac:dyDescent="0.35">
      <c r="A311" s="7">
        <v>309</v>
      </c>
      <c r="B311" s="15" t="s">
        <v>358</v>
      </c>
      <c r="C311" s="15"/>
      <c r="D311" s="14"/>
      <c r="E311" s="14" t="s">
        <v>352</v>
      </c>
      <c r="F311" s="14"/>
      <c r="G311" s="16" t="s">
        <v>455</v>
      </c>
      <c r="H311" s="16" t="s">
        <v>455</v>
      </c>
      <c r="I311" s="16" t="s">
        <v>455</v>
      </c>
      <c r="J311" s="16" t="s">
        <v>454</v>
      </c>
      <c r="K311" s="17"/>
      <c r="L311" s="17">
        <v>1</v>
      </c>
      <c r="M311" s="14" t="s">
        <v>2</v>
      </c>
      <c r="O311" s="4">
        <v>11</v>
      </c>
    </row>
    <row r="312" spans="1:15" x14ac:dyDescent="0.35">
      <c r="A312" s="7">
        <v>310</v>
      </c>
      <c r="B312" s="15" t="s">
        <v>359</v>
      </c>
      <c r="C312" s="15"/>
      <c r="D312" s="14"/>
      <c r="E312" s="14" t="s">
        <v>354</v>
      </c>
      <c r="F312" s="14"/>
      <c r="G312" s="16" t="s">
        <v>455</v>
      </c>
      <c r="H312" s="16" t="s">
        <v>455</v>
      </c>
      <c r="I312" s="16" t="s">
        <v>455</v>
      </c>
      <c r="J312" s="16" t="s">
        <v>454</v>
      </c>
      <c r="K312" s="17"/>
      <c r="L312" s="17">
        <v>1</v>
      </c>
      <c r="M312" s="14" t="s">
        <v>2</v>
      </c>
      <c r="O312" s="4">
        <v>12</v>
      </c>
    </row>
    <row r="313" spans="1:15" x14ac:dyDescent="0.35">
      <c r="A313" s="7">
        <v>311</v>
      </c>
      <c r="B313" s="15" t="s">
        <v>360</v>
      </c>
      <c r="C313" s="15"/>
      <c r="D313" s="14"/>
      <c r="E313" s="14" t="s">
        <v>361</v>
      </c>
      <c r="F313" s="14"/>
      <c r="G313" s="16" t="s">
        <v>455</v>
      </c>
      <c r="H313" s="16" t="s">
        <v>455</v>
      </c>
      <c r="I313" s="16" t="s">
        <v>455</v>
      </c>
      <c r="J313" s="16" t="s">
        <v>454</v>
      </c>
      <c r="K313" s="17"/>
      <c r="L313" s="17">
        <v>1</v>
      </c>
      <c r="M313" s="14" t="s">
        <v>2</v>
      </c>
      <c r="O313" s="4">
        <v>13</v>
      </c>
    </row>
    <row r="314" spans="1:15" x14ac:dyDescent="0.35">
      <c r="A314" s="7">
        <v>312</v>
      </c>
      <c r="B314" s="15" t="s">
        <v>362</v>
      </c>
      <c r="C314" s="15"/>
      <c r="D314" s="14"/>
      <c r="E314" s="14" t="s">
        <v>352</v>
      </c>
      <c r="F314" s="14"/>
      <c r="G314" s="16" t="s">
        <v>455</v>
      </c>
      <c r="H314" s="16" t="s">
        <v>455</v>
      </c>
      <c r="I314" s="16" t="s">
        <v>455</v>
      </c>
      <c r="J314" s="16" t="s">
        <v>454</v>
      </c>
      <c r="K314" s="17"/>
      <c r="L314" s="17">
        <v>1</v>
      </c>
      <c r="M314" s="14" t="s">
        <v>2</v>
      </c>
      <c r="O314" s="4">
        <v>14</v>
      </c>
    </row>
    <row r="315" spans="1:15" x14ac:dyDescent="0.35">
      <c r="A315" s="7">
        <v>313</v>
      </c>
      <c r="B315" s="15" t="s">
        <v>363</v>
      </c>
      <c r="C315" s="15"/>
      <c r="D315" s="14"/>
      <c r="E315" s="14" t="s">
        <v>364</v>
      </c>
      <c r="F315" s="14"/>
      <c r="G315" s="16" t="s">
        <v>455</v>
      </c>
      <c r="H315" s="16" t="s">
        <v>455</v>
      </c>
      <c r="I315" s="16" t="s">
        <v>455</v>
      </c>
      <c r="J315" s="16" t="s">
        <v>454</v>
      </c>
      <c r="K315" s="17"/>
      <c r="L315" s="17">
        <v>1</v>
      </c>
      <c r="M315" s="14" t="s">
        <v>2</v>
      </c>
      <c r="O315" s="4">
        <v>15</v>
      </c>
    </row>
    <row r="316" spans="1:15" x14ac:dyDescent="0.35">
      <c r="A316" s="7">
        <v>314</v>
      </c>
      <c r="B316" s="15" t="s">
        <v>365</v>
      </c>
      <c r="C316" s="15"/>
      <c r="D316" s="14"/>
      <c r="E316" s="14" t="s">
        <v>352</v>
      </c>
      <c r="F316" s="14"/>
      <c r="G316" s="16" t="s">
        <v>455</v>
      </c>
      <c r="H316" s="16" t="s">
        <v>455</v>
      </c>
      <c r="I316" s="16" t="s">
        <v>455</v>
      </c>
      <c r="J316" s="16" t="s">
        <v>454</v>
      </c>
      <c r="K316" s="17"/>
      <c r="L316" s="17">
        <v>1</v>
      </c>
      <c r="M316" s="14" t="s">
        <v>2</v>
      </c>
      <c r="O316" s="4">
        <v>16</v>
      </c>
    </row>
    <row r="317" spans="1:15" ht="29" x14ac:dyDescent="0.35">
      <c r="A317" s="7">
        <v>315</v>
      </c>
      <c r="B317" s="15" t="s">
        <v>366</v>
      </c>
      <c r="C317" s="15"/>
      <c r="D317" s="14"/>
      <c r="E317" s="14" t="s">
        <v>356</v>
      </c>
      <c r="F317" s="14"/>
      <c r="G317" s="16" t="s">
        <v>455</v>
      </c>
      <c r="H317" s="16" t="s">
        <v>455</v>
      </c>
      <c r="I317" s="16" t="s">
        <v>455</v>
      </c>
      <c r="J317" s="16" t="s">
        <v>454</v>
      </c>
      <c r="K317" s="17"/>
      <c r="L317" s="17">
        <v>1</v>
      </c>
      <c r="M317" s="14" t="s">
        <v>2</v>
      </c>
      <c r="O317" s="4">
        <v>17</v>
      </c>
    </row>
    <row r="318" spans="1:15" x14ac:dyDescent="0.35">
      <c r="A318" s="7">
        <v>316</v>
      </c>
      <c r="B318" s="15" t="s">
        <v>367</v>
      </c>
      <c r="C318" s="15"/>
      <c r="D318" s="14"/>
      <c r="E318" s="14" t="s">
        <v>361</v>
      </c>
      <c r="F318" s="14"/>
      <c r="G318" s="16" t="s">
        <v>455</v>
      </c>
      <c r="H318" s="16" t="s">
        <v>455</v>
      </c>
      <c r="I318" s="16" t="s">
        <v>455</v>
      </c>
      <c r="J318" s="16" t="s">
        <v>454</v>
      </c>
      <c r="K318" s="17"/>
      <c r="L318" s="17">
        <v>1</v>
      </c>
      <c r="M318" s="14" t="s">
        <v>2</v>
      </c>
      <c r="O318" s="4">
        <v>18</v>
      </c>
    </row>
    <row r="319" spans="1:15" x14ac:dyDescent="0.35">
      <c r="A319" s="7">
        <v>317</v>
      </c>
      <c r="B319" s="15" t="s">
        <v>368</v>
      </c>
      <c r="C319" s="15"/>
      <c r="D319" s="14"/>
      <c r="E319" s="14" t="s">
        <v>369</v>
      </c>
      <c r="F319" s="14"/>
      <c r="G319" s="16" t="s">
        <v>455</v>
      </c>
      <c r="H319" s="16" t="s">
        <v>455</v>
      </c>
      <c r="I319" s="16" t="s">
        <v>455</v>
      </c>
      <c r="J319" s="16" t="s">
        <v>454</v>
      </c>
      <c r="K319" s="17"/>
      <c r="L319" s="17">
        <v>1</v>
      </c>
      <c r="M319" s="14" t="s">
        <v>2</v>
      </c>
      <c r="O319" s="4">
        <v>19</v>
      </c>
    </row>
    <row r="320" spans="1:15" x14ac:dyDescent="0.35">
      <c r="A320" s="7">
        <v>318</v>
      </c>
      <c r="B320" s="15" t="s">
        <v>370</v>
      </c>
      <c r="C320" s="15"/>
      <c r="D320" s="14"/>
      <c r="E320" s="14" t="s">
        <v>369</v>
      </c>
      <c r="F320" s="14"/>
      <c r="G320" s="16" t="s">
        <v>455</v>
      </c>
      <c r="H320" s="16" t="s">
        <v>455</v>
      </c>
      <c r="I320" s="16" t="s">
        <v>455</v>
      </c>
      <c r="J320" s="16" t="s">
        <v>454</v>
      </c>
      <c r="K320" s="17"/>
      <c r="L320" s="17">
        <v>1</v>
      </c>
      <c r="M320" s="14" t="s">
        <v>2</v>
      </c>
      <c r="O320" s="4">
        <v>20</v>
      </c>
    </row>
    <row r="321" spans="1:15" x14ac:dyDescent="0.35">
      <c r="A321" s="7">
        <v>319</v>
      </c>
      <c r="B321" s="15" t="s">
        <v>371</v>
      </c>
      <c r="C321" s="15"/>
      <c r="D321" s="14"/>
      <c r="E321" s="14" t="s">
        <v>352</v>
      </c>
      <c r="F321" s="14"/>
      <c r="G321" s="16" t="s">
        <v>455</v>
      </c>
      <c r="H321" s="16" t="s">
        <v>455</v>
      </c>
      <c r="I321" s="16" t="s">
        <v>455</v>
      </c>
      <c r="J321" s="16" t="s">
        <v>454</v>
      </c>
      <c r="K321" s="17"/>
      <c r="L321" s="17">
        <v>1</v>
      </c>
      <c r="M321" s="14" t="s">
        <v>2</v>
      </c>
      <c r="O321" s="4">
        <v>21</v>
      </c>
    </row>
    <row r="322" spans="1:15" x14ac:dyDescent="0.35">
      <c r="A322" s="7">
        <v>320</v>
      </c>
      <c r="B322" s="15" t="s">
        <v>372</v>
      </c>
      <c r="C322" s="15"/>
      <c r="D322" s="14"/>
      <c r="E322" s="14" t="s">
        <v>354</v>
      </c>
      <c r="F322" s="14"/>
      <c r="G322" s="16" t="s">
        <v>455</v>
      </c>
      <c r="H322" s="16" t="s">
        <v>455</v>
      </c>
      <c r="I322" s="16" t="s">
        <v>455</v>
      </c>
      <c r="J322" s="16" t="s">
        <v>454</v>
      </c>
      <c r="K322" s="17"/>
      <c r="L322" s="17">
        <v>1</v>
      </c>
      <c r="M322" s="14" t="s">
        <v>2</v>
      </c>
      <c r="O322" s="4">
        <v>22</v>
      </c>
    </row>
    <row r="323" spans="1:15" x14ac:dyDescent="0.35">
      <c r="A323" s="7">
        <v>321</v>
      </c>
      <c r="B323" s="15" t="s">
        <v>373</v>
      </c>
      <c r="C323" s="15"/>
      <c r="D323" s="14"/>
      <c r="E323" s="14" t="s">
        <v>374</v>
      </c>
      <c r="F323" s="14"/>
      <c r="G323" s="16" t="s">
        <v>455</v>
      </c>
      <c r="H323" s="16" t="s">
        <v>455</v>
      </c>
      <c r="I323" s="16" t="s">
        <v>455</v>
      </c>
      <c r="J323" s="16" t="s">
        <v>454</v>
      </c>
      <c r="K323" s="17"/>
      <c r="L323" s="17">
        <v>1</v>
      </c>
      <c r="M323" s="14" t="s">
        <v>2</v>
      </c>
      <c r="O323" s="4">
        <v>23</v>
      </c>
    </row>
    <row r="324" spans="1:15" x14ac:dyDescent="0.35">
      <c r="A324" s="7">
        <v>322</v>
      </c>
      <c r="B324" s="15" t="s">
        <v>375</v>
      </c>
      <c r="C324" s="15"/>
      <c r="D324" s="14"/>
      <c r="E324" s="14" t="s">
        <v>352</v>
      </c>
      <c r="F324" s="14"/>
      <c r="G324" s="16" t="s">
        <v>455</v>
      </c>
      <c r="H324" s="16" t="s">
        <v>455</v>
      </c>
      <c r="I324" s="16" t="s">
        <v>455</v>
      </c>
      <c r="J324" s="16" t="s">
        <v>454</v>
      </c>
      <c r="K324" s="17"/>
      <c r="L324" s="17">
        <v>1</v>
      </c>
      <c r="M324" s="14" t="s">
        <v>2</v>
      </c>
      <c r="O324" s="4">
        <v>24</v>
      </c>
    </row>
    <row r="325" spans="1:15" x14ac:dyDescent="0.35">
      <c r="A325" s="7">
        <v>323</v>
      </c>
      <c r="B325" s="15" t="s">
        <v>376</v>
      </c>
      <c r="C325" s="15"/>
      <c r="D325" s="14"/>
      <c r="E325" s="14" t="s">
        <v>374</v>
      </c>
      <c r="F325" s="14"/>
      <c r="G325" s="16" t="s">
        <v>455</v>
      </c>
      <c r="H325" s="16" t="s">
        <v>455</v>
      </c>
      <c r="I325" s="16" t="s">
        <v>455</v>
      </c>
      <c r="J325" s="16" t="s">
        <v>454</v>
      </c>
      <c r="K325" s="17"/>
      <c r="L325" s="17">
        <v>1</v>
      </c>
      <c r="M325" s="14" t="s">
        <v>2</v>
      </c>
      <c r="O325" s="4">
        <v>25</v>
      </c>
    </row>
    <row r="326" spans="1:15" ht="29" x14ac:dyDescent="0.35">
      <c r="A326" s="7">
        <v>324</v>
      </c>
      <c r="B326" s="15" t="s">
        <v>377</v>
      </c>
      <c r="C326" s="15"/>
      <c r="D326" s="14"/>
      <c r="E326" s="14" t="s">
        <v>378</v>
      </c>
      <c r="F326" s="14"/>
      <c r="G326" s="16" t="s">
        <v>455</v>
      </c>
      <c r="H326" s="16" t="s">
        <v>455</v>
      </c>
      <c r="I326" s="16" t="s">
        <v>455</v>
      </c>
      <c r="J326" s="16" t="s">
        <v>454</v>
      </c>
      <c r="K326" s="17"/>
      <c r="L326" s="17">
        <v>1</v>
      </c>
      <c r="M326" s="14" t="s">
        <v>2</v>
      </c>
      <c r="O326" s="4">
        <v>26</v>
      </c>
    </row>
    <row r="327" spans="1:15" ht="29" x14ac:dyDescent="0.35">
      <c r="A327" s="7">
        <v>325</v>
      </c>
      <c r="B327" s="15" t="s">
        <v>379</v>
      </c>
      <c r="C327" s="15"/>
      <c r="D327" s="14"/>
      <c r="E327" s="14" t="s">
        <v>356</v>
      </c>
      <c r="F327" s="14"/>
      <c r="G327" s="16" t="s">
        <v>455</v>
      </c>
      <c r="H327" s="16" t="s">
        <v>455</v>
      </c>
      <c r="I327" s="16" t="s">
        <v>455</v>
      </c>
      <c r="J327" s="16" t="s">
        <v>454</v>
      </c>
      <c r="K327" s="17"/>
      <c r="L327" s="17">
        <v>1</v>
      </c>
      <c r="M327" s="14" t="s">
        <v>2</v>
      </c>
      <c r="O327" s="4">
        <v>27</v>
      </c>
    </row>
    <row r="328" spans="1:15" x14ac:dyDescent="0.35">
      <c r="A328" s="7">
        <v>326</v>
      </c>
      <c r="B328" s="15" t="s">
        <v>380</v>
      </c>
      <c r="C328" s="15"/>
      <c r="D328" s="14"/>
      <c r="E328" s="14" t="s">
        <v>354</v>
      </c>
      <c r="F328" s="14"/>
      <c r="G328" s="16" t="s">
        <v>455</v>
      </c>
      <c r="H328" s="16" t="s">
        <v>455</v>
      </c>
      <c r="I328" s="16" t="s">
        <v>455</v>
      </c>
      <c r="J328" s="16" t="s">
        <v>454</v>
      </c>
      <c r="K328" s="17"/>
      <c r="L328" s="17">
        <v>1</v>
      </c>
      <c r="M328" s="14" t="s">
        <v>2</v>
      </c>
      <c r="O328" s="4">
        <v>28</v>
      </c>
    </row>
    <row r="329" spans="1:15" x14ac:dyDescent="0.35">
      <c r="A329" s="7">
        <v>327</v>
      </c>
      <c r="B329" s="15" t="s">
        <v>381</v>
      </c>
      <c r="C329" s="15"/>
      <c r="D329" s="14"/>
      <c r="E329" s="14" t="s">
        <v>354</v>
      </c>
      <c r="F329" s="14"/>
      <c r="G329" s="16" t="s">
        <v>455</v>
      </c>
      <c r="H329" s="16" t="s">
        <v>455</v>
      </c>
      <c r="I329" s="16" t="s">
        <v>455</v>
      </c>
      <c r="J329" s="16" t="s">
        <v>454</v>
      </c>
      <c r="K329" s="17"/>
      <c r="L329" s="17">
        <v>1</v>
      </c>
      <c r="M329" s="14" t="s">
        <v>2</v>
      </c>
      <c r="O329" s="4">
        <v>29</v>
      </c>
    </row>
    <row r="330" spans="1:15" x14ac:dyDescent="0.35">
      <c r="A330" s="7">
        <v>328</v>
      </c>
      <c r="B330" s="15" t="s">
        <v>382</v>
      </c>
      <c r="C330" s="15"/>
      <c r="D330" s="14"/>
      <c r="E330" s="14" t="s">
        <v>361</v>
      </c>
      <c r="F330" s="14"/>
      <c r="G330" s="16" t="s">
        <v>455</v>
      </c>
      <c r="H330" s="16" t="s">
        <v>455</v>
      </c>
      <c r="I330" s="16" t="s">
        <v>455</v>
      </c>
      <c r="J330" s="16" t="s">
        <v>454</v>
      </c>
      <c r="K330" s="17"/>
      <c r="L330" s="17">
        <v>1</v>
      </c>
      <c r="M330" s="14" t="s">
        <v>2</v>
      </c>
      <c r="O330" s="4">
        <v>30</v>
      </c>
    </row>
    <row r="331" spans="1:15" ht="29" x14ac:dyDescent="0.35">
      <c r="A331" s="7">
        <v>329</v>
      </c>
      <c r="B331" s="15" t="s">
        <v>383</v>
      </c>
      <c r="C331" s="15"/>
      <c r="D331" s="14"/>
      <c r="E331" s="14" t="s">
        <v>384</v>
      </c>
      <c r="F331" s="14"/>
      <c r="G331" s="16" t="s">
        <v>455</v>
      </c>
      <c r="H331" s="16" t="s">
        <v>455</v>
      </c>
      <c r="I331" s="16" t="s">
        <v>455</v>
      </c>
      <c r="J331" s="16" t="s">
        <v>454</v>
      </c>
      <c r="K331" s="17"/>
      <c r="L331" s="17">
        <v>1</v>
      </c>
      <c r="M331" s="14" t="s">
        <v>2</v>
      </c>
      <c r="O331" s="4">
        <v>31</v>
      </c>
    </row>
    <row r="332" spans="1:15" x14ac:dyDescent="0.35">
      <c r="A332" s="7">
        <v>330</v>
      </c>
      <c r="B332" s="15" t="s">
        <v>385</v>
      </c>
      <c r="C332" s="15"/>
      <c r="D332" s="14"/>
      <c r="E332" s="14" t="s">
        <v>386</v>
      </c>
      <c r="F332" s="14"/>
      <c r="G332" s="16" t="s">
        <v>455</v>
      </c>
      <c r="H332" s="16" t="s">
        <v>455</v>
      </c>
      <c r="I332" s="16" t="s">
        <v>455</v>
      </c>
      <c r="J332" s="16" t="s">
        <v>454</v>
      </c>
      <c r="K332" s="17"/>
      <c r="L332" s="17">
        <v>1</v>
      </c>
      <c r="M332" s="14" t="s">
        <v>2</v>
      </c>
      <c r="O332" s="4">
        <v>32</v>
      </c>
    </row>
    <row r="333" spans="1:15" ht="29" x14ac:dyDescent="0.35">
      <c r="A333" s="7">
        <v>331</v>
      </c>
      <c r="B333" s="15" t="s">
        <v>387</v>
      </c>
      <c r="C333" s="15"/>
      <c r="D333" s="14"/>
      <c r="E333" s="14" t="s">
        <v>386</v>
      </c>
      <c r="F333" s="14"/>
      <c r="G333" s="16" t="s">
        <v>455</v>
      </c>
      <c r="H333" s="16" t="s">
        <v>455</v>
      </c>
      <c r="I333" s="16" t="s">
        <v>455</v>
      </c>
      <c r="J333" s="16" t="s">
        <v>454</v>
      </c>
      <c r="K333" s="17"/>
      <c r="L333" s="17">
        <v>1</v>
      </c>
      <c r="M333" s="14" t="s">
        <v>2</v>
      </c>
      <c r="O333" s="4">
        <v>33</v>
      </c>
    </row>
    <row r="334" spans="1:15" x14ac:dyDescent="0.35">
      <c r="A334" s="7">
        <v>332</v>
      </c>
      <c r="B334" s="15" t="s">
        <v>388</v>
      </c>
      <c r="C334" s="15"/>
      <c r="D334" s="14"/>
      <c r="E334" s="14" t="s">
        <v>369</v>
      </c>
      <c r="F334" s="14"/>
      <c r="G334" s="16" t="s">
        <v>455</v>
      </c>
      <c r="H334" s="16" t="s">
        <v>455</v>
      </c>
      <c r="I334" s="16" t="s">
        <v>455</v>
      </c>
      <c r="J334" s="16" t="s">
        <v>454</v>
      </c>
      <c r="K334" s="17"/>
      <c r="L334" s="17">
        <v>1</v>
      </c>
      <c r="M334" s="14" t="s">
        <v>2</v>
      </c>
      <c r="O334" s="4">
        <v>34</v>
      </c>
    </row>
    <row r="335" spans="1:15" x14ac:dyDescent="0.35">
      <c r="A335" s="7">
        <v>333</v>
      </c>
      <c r="B335" s="15" t="s">
        <v>389</v>
      </c>
      <c r="C335" s="15"/>
      <c r="D335" s="14"/>
      <c r="E335" s="14" t="s">
        <v>390</v>
      </c>
      <c r="F335" s="14"/>
      <c r="G335" s="16" t="s">
        <v>455</v>
      </c>
      <c r="H335" s="16" t="s">
        <v>455</v>
      </c>
      <c r="I335" s="16" t="s">
        <v>455</v>
      </c>
      <c r="J335" s="16" t="s">
        <v>454</v>
      </c>
      <c r="K335" s="17"/>
      <c r="L335" s="17">
        <v>1</v>
      </c>
      <c r="M335" s="14" t="s">
        <v>2</v>
      </c>
      <c r="O335" s="4">
        <v>35</v>
      </c>
    </row>
    <row r="336" spans="1:15" x14ac:dyDescent="0.35">
      <c r="A336" s="7">
        <v>334</v>
      </c>
      <c r="B336" s="15" t="s">
        <v>391</v>
      </c>
      <c r="C336" s="15"/>
      <c r="D336" s="14"/>
      <c r="E336" s="14" t="s">
        <v>352</v>
      </c>
      <c r="F336" s="14"/>
      <c r="G336" s="16" t="s">
        <v>455</v>
      </c>
      <c r="H336" s="16" t="s">
        <v>455</v>
      </c>
      <c r="I336" s="16" t="s">
        <v>455</v>
      </c>
      <c r="J336" s="16" t="s">
        <v>454</v>
      </c>
      <c r="K336" s="17"/>
      <c r="L336" s="17">
        <v>1</v>
      </c>
      <c r="M336" s="14" t="s">
        <v>2</v>
      </c>
      <c r="O336" s="4">
        <v>36</v>
      </c>
    </row>
    <row r="337" spans="1:15" ht="29" x14ac:dyDescent="0.35">
      <c r="A337" s="7">
        <v>335</v>
      </c>
      <c r="B337" s="15" t="s">
        <v>732</v>
      </c>
      <c r="C337" s="15"/>
      <c r="D337" s="14"/>
      <c r="E337" s="14" t="s">
        <v>525</v>
      </c>
      <c r="F337" s="14"/>
      <c r="G337" s="16" t="s">
        <v>455</v>
      </c>
      <c r="H337" s="16" t="s">
        <v>455</v>
      </c>
      <c r="I337" s="16" t="s">
        <v>455</v>
      </c>
      <c r="J337" s="16" t="s">
        <v>454</v>
      </c>
      <c r="K337" s="17"/>
      <c r="L337" s="17">
        <v>1</v>
      </c>
      <c r="M337" s="14" t="s">
        <v>2</v>
      </c>
      <c r="O337" s="4">
        <v>37</v>
      </c>
    </row>
    <row r="338" spans="1:15" ht="29" x14ac:dyDescent="0.35">
      <c r="A338" s="7">
        <v>336</v>
      </c>
      <c r="B338" s="15" t="s">
        <v>733</v>
      </c>
      <c r="C338" s="15"/>
      <c r="D338" s="14"/>
      <c r="E338" s="14" t="s">
        <v>534</v>
      </c>
      <c r="F338" s="14"/>
      <c r="G338" s="16" t="s">
        <v>455</v>
      </c>
      <c r="H338" s="16" t="s">
        <v>455</v>
      </c>
      <c r="I338" s="16" t="s">
        <v>455</v>
      </c>
      <c r="J338" s="16" t="s">
        <v>454</v>
      </c>
      <c r="K338" s="17"/>
      <c r="L338" s="17">
        <v>1</v>
      </c>
      <c r="M338" s="14" t="s">
        <v>2</v>
      </c>
      <c r="O338" s="4">
        <v>38</v>
      </c>
    </row>
    <row r="339" spans="1:15" ht="43.5" x14ac:dyDescent="0.35">
      <c r="A339" s="7">
        <v>337</v>
      </c>
      <c r="B339" s="15" t="s">
        <v>734</v>
      </c>
      <c r="C339" s="15"/>
      <c r="D339" s="14"/>
      <c r="E339" s="14" t="s">
        <v>735</v>
      </c>
      <c r="F339" s="14"/>
      <c r="G339" s="16" t="s">
        <v>455</v>
      </c>
      <c r="H339" s="16" t="s">
        <v>455</v>
      </c>
      <c r="I339" s="16" t="s">
        <v>455</v>
      </c>
      <c r="J339" s="16" t="s">
        <v>454</v>
      </c>
      <c r="K339" s="17"/>
      <c r="L339" s="17">
        <v>1</v>
      </c>
      <c r="M339" s="14" t="s">
        <v>2</v>
      </c>
      <c r="O339" s="4">
        <v>39</v>
      </c>
    </row>
    <row r="340" spans="1:15" ht="43.5" x14ac:dyDescent="0.35">
      <c r="A340" s="7">
        <v>338</v>
      </c>
      <c r="B340" s="15" t="s">
        <v>736</v>
      </c>
      <c r="C340" s="15"/>
      <c r="D340" s="14"/>
      <c r="E340" s="14" t="s">
        <v>737</v>
      </c>
      <c r="F340" s="14"/>
      <c r="G340" s="16" t="s">
        <v>455</v>
      </c>
      <c r="H340" s="16" t="s">
        <v>455</v>
      </c>
      <c r="I340" s="16" t="s">
        <v>455</v>
      </c>
      <c r="J340" s="16" t="s">
        <v>454</v>
      </c>
      <c r="K340" s="17"/>
      <c r="L340" s="17">
        <v>1</v>
      </c>
      <c r="M340" s="14" t="s">
        <v>2</v>
      </c>
      <c r="O340" s="4">
        <v>40</v>
      </c>
    </row>
    <row r="341" spans="1:15" ht="29" x14ac:dyDescent="0.35">
      <c r="A341" s="7">
        <v>339</v>
      </c>
      <c r="B341" s="15" t="s">
        <v>738</v>
      </c>
      <c r="C341" s="15"/>
      <c r="D341" s="14"/>
      <c r="E341" s="14" t="s">
        <v>369</v>
      </c>
      <c r="F341" s="14"/>
      <c r="G341" s="16" t="s">
        <v>455</v>
      </c>
      <c r="H341" s="16" t="s">
        <v>455</v>
      </c>
      <c r="I341" s="16" t="s">
        <v>455</v>
      </c>
      <c r="J341" s="16" t="s">
        <v>454</v>
      </c>
      <c r="K341" s="17"/>
      <c r="L341" s="17">
        <v>1</v>
      </c>
      <c r="M341" s="14" t="s">
        <v>2</v>
      </c>
      <c r="O341" s="4">
        <v>41</v>
      </c>
    </row>
    <row r="342" spans="1:15" ht="29" x14ac:dyDescent="0.35">
      <c r="A342" s="7">
        <v>340</v>
      </c>
      <c r="B342" s="15" t="s">
        <v>739</v>
      </c>
      <c r="C342" s="15"/>
      <c r="D342" s="14"/>
      <c r="E342" s="14" t="s">
        <v>369</v>
      </c>
      <c r="F342" s="14"/>
      <c r="G342" s="16" t="s">
        <v>455</v>
      </c>
      <c r="H342" s="16" t="s">
        <v>455</v>
      </c>
      <c r="I342" s="16" t="s">
        <v>455</v>
      </c>
      <c r="J342" s="16" t="s">
        <v>454</v>
      </c>
      <c r="K342" s="17"/>
      <c r="L342" s="17">
        <v>1</v>
      </c>
      <c r="M342" s="14" t="s">
        <v>2</v>
      </c>
      <c r="O342" s="4">
        <v>42</v>
      </c>
    </row>
    <row r="343" spans="1:15" x14ac:dyDescent="0.35">
      <c r="A343" s="7">
        <v>341</v>
      </c>
      <c r="B343" s="15" t="s">
        <v>740</v>
      </c>
      <c r="C343" s="15"/>
      <c r="D343" s="14"/>
      <c r="E343" s="14" t="s">
        <v>354</v>
      </c>
      <c r="F343" s="14"/>
      <c r="G343" s="16" t="s">
        <v>455</v>
      </c>
      <c r="H343" s="16" t="s">
        <v>455</v>
      </c>
      <c r="I343" s="16" t="s">
        <v>455</v>
      </c>
      <c r="J343" s="16" t="s">
        <v>454</v>
      </c>
      <c r="K343" s="17"/>
      <c r="L343" s="17">
        <v>1</v>
      </c>
      <c r="M343" s="14" t="s">
        <v>2</v>
      </c>
      <c r="O343" s="4">
        <v>43</v>
      </c>
    </row>
    <row r="344" spans="1:15" x14ac:dyDescent="0.35">
      <c r="A344" s="7">
        <v>342</v>
      </c>
      <c r="B344" s="15" t="s">
        <v>392</v>
      </c>
      <c r="C344" s="15"/>
      <c r="D344" s="14"/>
      <c r="E344" s="14" t="s">
        <v>386</v>
      </c>
      <c r="F344" s="14"/>
      <c r="G344" s="16" t="s">
        <v>455</v>
      </c>
      <c r="H344" s="16" t="s">
        <v>455</v>
      </c>
      <c r="I344" s="16" t="s">
        <v>455</v>
      </c>
      <c r="J344" s="16" t="s">
        <v>454</v>
      </c>
      <c r="K344" s="17"/>
      <c r="L344" s="17">
        <v>1</v>
      </c>
      <c r="M344" s="14" t="s">
        <v>2</v>
      </c>
      <c r="O344" s="4">
        <v>44</v>
      </c>
    </row>
    <row r="345" spans="1:15" x14ac:dyDescent="0.35">
      <c r="A345" s="7">
        <v>343</v>
      </c>
      <c r="B345" s="15" t="s">
        <v>393</v>
      </c>
      <c r="C345" s="15"/>
      <c r="D345" s="14"/>
      <c r="E345" s="14" t="s">
        <v>394</v>
      </c>
      <c r="F345" s="14"/>
      <c r="G345" s="16" t="s">
        <v>455</v>
      </c>
      <c r="H345" s="16" t="s">
        <v>455</v>
      </c>
      <c r="I345" s="16" t="s">
        <v>455</v>
      </c>
      <c r="J345" s="16" t="s">
        <v>454</v>
      </c>
      <c r="K345" s="17"/>
      <c r="L345" s="17">
        <v>1</v>
      </c>
      <c r="M345" s="14" t="s">
        <v>2</v>
      </c>
      <c r="O345" s="4">
        <v>45</v>
      </c>
    </row>
    <row r="346" spans="1:15" x14ac:dyDescent="0.35">
      <c r="A346" s="7">
        <v>344</v>
      </c>
      <c r="B346" s="15" t="s">
        <v>395</v>
      </c>
      <c r="C346" s="15"/>
      <c r="D346" s="14"/>
      <c r="E346" s="14" t="s">
        <v>396</v>
      </c>
      <c r="F346" s="14"/>
      <c r="G346" s="16" t="s">
        <v>455</v>
      </c>
      <c r="H346" s="16" t="s">
        <v>455</v>
      </c>
      <c r="I346" s="16" t="s">
        <v>455</v>
      </c>
      <c r="J346" s="16" t="s">
        <v>454</v>
      </c>
      <c r="K346" s="17"/>
      <c r="L346" s="17">
        <v>1</v>
      </c>
      <c r="M346" s="14" t="s">
        <v>2</v>
      </c>
      <c r="O346" s="4">
        <v>46</v>
      </c>
    </row>
    <row r="347" spans="1:15" x14ac:dyDescent="0.35">
      <c r="A347" s="7">
        <v>345</v>
      </c>
      <c r="B347" s="15" t="s">
        <v>397</v>
      </c>
      <c r="C347" s="15"/>
      <c r="D347" s="14"/>
      <c r="E347" s="14" t="s">
        <v>398</v>
      </c>
      <c r="F347" s="14"/>
      <c r="G347" s="16" t="s">
        <v>455</v>
      </c>
      <c r="H347" s="16" t="s">
        <v>455</v>
      </c>
      <c r="I347" s="16" t="s">
        <v>455</v>
      </c>
      <c r="J347" s="16" t="s">
        <v>454</v>
      </c>
      <c r="K347" s="17"/>
      <c r="L347" s="17">
        <v>1</v>
      </c>
      <c r="M347" s="14" t="s">
        <v>2</v>
      </c>
      <c r="O347" s="4">
        <v>47</v>
      </c>
    </row>
    <row r="348" spans="1:15" ht="43.5" x14ac:dyDescent="0.35">
      <c r="A348" s="7">
        <v>346</v>
      </c>
      <c r="B348" s="15" t="s">
        <v>399</v>
      </c>
      <c r="C348" s="15"/>
      <c r="D348" s="14"/>
      <c r="E348" s="14" t="s">
        <v>400</v>
      </c>
      <c r="F348" s="14"/>
      <c r="G348" s="16" t="s">
        <v>455</v>
      </c>
      <c r="H348" s="16" t="s">
        <v>455</v>
      </c>
      <c r="I348" s="16" t="s">
        <v>455</v>
      </c>
      <c r="J348" s="16" t="s">
        <v>454</v>
      </c>
      <c r="K348" s="17"/>
      <c r="L348" s="17">
        <v>1</v>
      </c>
      <c r="M348" s="14" t="s">
        <v>2</v>
      </c>
      <c r="O348" s="4">
        <v>48</v>
      </c>
    </row>
    <row r="349" spans="1:15" x14ac:dyDescent="0.35">
      <c r="A349" s="7">
        <v>347</v>
      </c>
      <c r="B349" s="15" t="s">
        <v>401</v>
      </c>
      <c r="C349" s="15"/>
      <c r="D349" s="14"/>
      <c r="E349" s="14" t="s">
        <v>354</v>
      </c>
      <c r="F349" s="14"/>
      <c r="G349" s="16" t="s">
        <v>455</v>
      </c>
      <c r="H349" s="16" t="s">
        <v>455</v>
      </c>
      <c r="I349" s="16" t="s">
        <v>455</v>
      </c>
      <c r="J349" s="16" t="s">
        <v>454</v>
      </c>
      <c r="K349" s="17"/>
      <c r="L349" s="17">
        <v>1</v>
      </c>
      <c r="M349" s="14" t="s">
        <v>2</v>
      </c>
      <c r="O349" s="4">
        <v>49</v>
      </c>
    </row>
    <row r="350" spans="1:15" ht="29" x14ac:dyDescent="0.35">
      <c r="A350" s="7">
        <v>348</v>
      </c>
      <c r="B350" s="15" t="s">
        <v>402</v>
      </c>
      <c r="C350" s="15"/>
      <c r="D350" s="14"/>
      <c r="E350" s="14" t="s">
        <v>398</v>
      </c>
      <c r="F350" s="14"/>
      <c r="G350" s="16" t="s">
        <v>455</v>
      </c>
      <c r="H350" s="16" t="s">
        <v>455</v>
      </c>
      <c r="I350" s="16" t="s">
        <v>455</v>
      </c>
      <c r="J350" s="16" t="s">
        <v>454</v>
      </c>
      <c r="K350" s="17"/>
      <c r="L350" s="17">
        <v>1</v>
      </c>
      <c r="M350" s="14" t="s">
        <v>2</v>
      </c>
      <c r="O350" s="4">
        <v>50</v>
      </c>
    </row>
    <row r="351" spans="1:15" ht="29" x14ac:dyDescent="0.35">
      <c r="A351" s="7">
        <v>349</v>
      </c>
      <c r="B351" s="15" t="s">
        <v>403</v>
      </c>
      <c r="C351" s="15"/>
      <c r="D351" s="14"/>
      <c r="E351" s="14" t="s">
        <v>396</v>
      </c>
      <c r="F351" s="14"/>
      <c r="G351" s="16" t="s">
        <v>455</v>
      </c>
      <c r="H351" s="16" t="s">
        <v>455</v>
      </c>
      <c r="I351" s="16" t="s">
        <v>455</v>
      </c>
      <c r="J351" s="16" t="s">
        <v>454</v>
      </c>
      <c r="K351" s="17"/>
      <c r="L351" s="17">
        <v>1</v>
      </c>
      <c r="M351" s="14" t="s">
        <v>2</v>
      </c>
      <c r="O351" s="4">
        <v>51</v>
      </c>
    </row>
    <row r="352" spans="1:15" ht="29" x14ac:dyDescent="0.35">
      <c r="A352" s="7">
        <v>350</v>
      </c>
      <c r="B352" s="15" t="s">
        <v>404</v>
      </c>
      <c r="C352" s="15"/>
      <c r="D352" s="14"/>
      <c r="E352" s="14" t="s">
        <v>398</v>
      </c>
      <c r="F352" s="14"/>
      <c r="G352" s="16" t="s">
        <v>455</v>
      </c>
      <c r="H352" s="16" t="s">
        <v>455</v>
      </c>
      <c r="I352" s="16" t="s">
        <v>455</v>
      </c>
      <c r="J352" s="16" t="s">
        <v>454</v>
      </c>
      <c r="K352" s="17"/>
      <c r="L352" s="17">
        <v>1</v>
      </c>
      <c r="M352" s="14" t="s">
        <v>2</v>
      </c>
      <c r="O352" s="4">
        <v>52</v>
      </c>
    </row>
    <row r="353" spans="1:15" x14ac:dyDescent="0.35">
      <c r="A353" s="7">
        <v>351</v>
      </c>
      <c r="B353" s="15" t="s">
        <v>405</v>
      </c>
      <c r="C353" s="15"/>
      <c r="D353" s="14"/>
      <c r="E353" s="14" t="s">
        <v>398</v>
      </c>
      <c r="F353" s="14"/>
      <c r="G353" s="16" t="s">
        <v>455</v>
      </c>
      <c r="H353" s="16" t="s">
        <v>455</v>
      </c>
      <c r="I353" s="16" t="s">
        <v>455</v>
      </c>
      <c r="J353" s="16" t="s">
        <v>454</v>
      </c>
      <c r="K353" s="17"/>
      <c r="L353" s="17">
        <v>1</v>
      </c>
      <c r="M353" s="14" t="s">
        <v>2</v>
      </c>
      <c r="O353" s="4">
        <v>53</v>
      </c>
    </row>
    <row r="354" spans="1:15" x14ac:dyDescent="0.35">
      <c r="A354" s="7">
        <v>352</v>
      </c>
      <c r="B354" s="15" t="s">
        <v>406</v>
      </c>
      <c r="C354" s="15"/>
      <c r="D354" s="14"/>
      <c r="E354" s="14" t="s">
        <v>398</v>
      </c>
      <c r="F354" s="14"/>
      <c r="G354" s="16" t="s">
        <v>455</v>
      </c>
      <c r="H354" s="16" t="s">
        <v>455</v>
      </c>
      <c r="I354" s="16" t="s">
        <v>455</v>
      </c>
      <c r="J354" s="16" t="s">
        <v>454</v>
      </c>
      <c r="K354" s="17"/>
      <c r="L354" s="17">
        <v>1</v>
      </c>
      <c r="M354" s="14" t="s">
        <v>2</v>
      </c>
      <c r="O354" s="4">
        <v>54</v>
      </c>
    </row>
    <row r="355" spans="1:15" x14ac:dyDescent="0.35">
      <c r="A355" s="7">
        <v>353</v>
      </c>
      <c r="B355" s="15" t="s">
        <v>407</v>
      </c>
      <c r="C355" s="15"/>
      <c r="D355" s="14"/>
      <c r="E355" s="14" t="s">
        <v>408</v>
      </c>
      <c r="F355" s="14"/>
      <c r="G355" s="16" t="s">
        <v>455</v>
      </c>
      <c r="H355" s="16" t="s">
        <v>455</v>
      </c>
      <c r="I355" s="16" t="s">
        <v>455</v>
      </c>
      <c r="J355" s="16" t="s">
        <v>454</v>
      </c>
      <c r="K355" s="17"/>
      <c r="L355" s="17">
        <v>1</v>
      </c>
      <c r="M355" s="14" t="s">
        <v>2</v>
      </c>
      <c r="O355" s="4">
        <v>55</v>
      </c>
    </row>
    <row r="356" spans="1:15" x14ac:dyDescent="0.35">
      <c r="A356" s="7">
        <v>354</v>
      </c>
      <c r="B356" s="15" t="s">
        <v>409</v>
      </c>
      <c r="C356" s="15"/>
      <c r="D356" s="14"/>
      <c r="E356" s="14" t="s">
        <v>352</v>
      </c>
      <c r="F356" s="14"/>
      <c r="G356" s="16" t="s">
        <v>455</v>
      </c>
      <c r="H356" s="16" t="s">
        <v>455</v>
      </c>
      <c r="I356" s="16" t="s">
        <v>455</v>
      </c>
      <c r="J356" s="16" t="s">
        <v>454</v>
      </c>
      <c r="K356" s="17"/>
      <c r="L356" s="17">
        <v>1</v>
      </c>
      <c r="M356" s="14" t="s">
        <v>2</v>
      </c>
      <c r="O356" s="4">
        <v>56</v>
      </c>
    </row>
    <row r="357" spans="1:15" x14ac:dyDescent="0.35">
      <c r="A357" s="7">
        <v>355</v>
      </c>
      <c r="B357" s="15" t="s">
        <v>410</v>
      </c>
      <c r="C357" s="15"/>
      <c r="D357" s="14"/>
      <c r="E357" s="14" t="s">
        <v>352</v>
      </c>
      <c r="F357" s="14"/>
      <c r="G357" s="16" t="s">
        <v>455</v>
      </c>
      <c r="H357" s="16" t="s">
        <v>455</v>
      </c>
      <c r="I357" s="16" t="s">
        <v>455</v>
      </c>
      <c r="J357" s="16" t="s">
        <v>454</v>
      </c>
      <c r="K357" s="17"/>
      <c r="L357" s="17">
        <v>1</v>
      </c>
      <c r="M357" s="14" t="s">
        <v>2</v>
      </c>
      <c r="O357" s="4">
        <v>57</v>
      </c>
    </row>
    <row r="358" spans="1:15" x14ac:dyDescent="0.35">
      <c r="A358" s="7">
        <v>356</v>
      </c>
      <c r="B358" s="15" t="s">
        <v>411</v>
      </c>
      <c r="C358" s="15"/>
      <c r="D358" s="14"/>
      <c r="E358" s="14" t="s">
        <v>352</v>
      </c>
      <c r="F358" s="14"/>
      <c r="G358" s="16" t="s">
        <v>455</v>
      </c>
      <c r="H358" s="16" t="s">
        <v>455</v>
      </c>
      <c r="I358" s="16" t="s">
        <v>455</v>
      </c>
      <c r="J358" s="16" t="s">
        <v>454</v>
      </c>
      <c r="K358" s="17"/>
      <c r="L358" s="17">
        <v>1</v>
      </c>
      <c r="M358" s="14" t="s">
        <v>2</v>
      </c>
      <c r="O358" s="4">
        <v>58</v>
      </c>
    </row>
    <row r="359" spans="1:15" x14ac:dyDescent="0.35">
      <c r="A359" s="7">
        <v>357</v>
      </c>
      <c r="B359" s="15" t="s">
        <v>412</v>
      </c>
      <c r="C359" s="15"/>
      <c r="D359" s="14"/>
      <c r="E359" s="14" t="s">
        <v>354</v>
      </c>
      <c r="F359" s="14"/>
      <c r="G359" s="16" t="s">
        <v>455</v>
      </c>
      <c r="H359" s="16" t="s">
        <v>455</v>
      </c>
      <c r="I359" s="16" t="s">
        <v>455</v>
      </c>
      <c r="J359" s="16" t="s">
        <v>454</v>
      </c>
      <c r="K359" s="17"/>
      <c r="L359" s="17">
        <v>1</v>
      </c>
      <c r="M359" s="14" t="s">
        <v>2</v>
      </c>
      <c r="O359" s="4">
        <v>59</v>
      </c>
    </row>
    <row r="360" spans="1:15" ht="29" x14ac:dyDescent="0.35">
      <c r="A360" s="7">
        <v>358</v>
      </c>
      <c r="B360" s="15" t="s">
        <v>413</v>
      </c>
      <c r="C360" s="15"/>
      <c r="D360" s="14"/>
      <c r="E360" s="14" t="s">
        <v>414</v>
      </c>
      <c r="F360" s="14"/>
      <c r="G360" s="16" t="s">
        <v>455</v>
      </c>
      <c r="H360" s="16" t="s">
        <v>455</v>
      </c>
      <c r="I360" s="16" t="s">
        <v>455</v>
      </c>
      <c r="J360" s="16" t="s">
        <v>454</v>
      </c>
      <c r="K360" s="17"/>
      <c r="L360" s="17">
        <v>1</v>
      </c>
      <c r="M360" s="14" t="s">
        <v>2</v>
      </c>
      <c r="O360" s="4">
        <v>60</v>
      </c>
    </row>
    <row r="361" spans="1:15" x14ac:dyDescent="0.35">
      <c r="A361" s="7">
        <v>359</v>
      </c>
      <c r="B361" s="15" t="s">
        <v>415</v>
      </c>
      <c r="C361" s="15"/>
      <c r="D361" s="14"/>
      <c r="E361" s="14" t="s">
        <v>354</v>
      </c>
      <c r="F361" s="14"/>
      <c r="G361" s="16" t="s">
        <v>455</v>
      </c>
      <c r="H361" s="16" t="s">
        <v>455</v>
      </c>
      <c r="I361" s="16" t="s">
        <v>455</v>
      </c>
      <c r="J361" s="16" t="s">
        <v>454</v>
      </c>
      <c r="K361" s="17"/>
      <c r="L361" s="17">
        <v>1</v>
      </c>
      <c r="M361" s="14" t="s">
        <v>2</v>
      </c>
      <c r="O361" s="4">
        <v>61</v>
      </c>
    </row>
    <row r="362" spans="1:15" ht="43.5" x14ac:dyDescent="0.35">
      <c r="A362" s="7">
        <v>360</v>
      </c>
      <c r="B362" s="15" t="s">
        <v>416</v>
      </c>
      <c r="C362" s="15"/>
      <c r="D362" s="14"/>
      <c r="E362" s="14" t="s">
        <v>417</v>
      </c>
      <c r="F362" s="14"/>
      <c r="G362" s="16" t="s">
        <v>455</v>
      </c>
      <c r="H362" s="16" t="s">
        <v>455</v>
      </c>
      <c r="I362" s="16" t="s">
        <v>455</v>
      </c>
      <c r="J362" s="16" t="s">
        <v>454</v>
      </c>
      <c r="K362" s="17"/>
      <c r="L362" s="17">
        <v>1</v>
      </c>
      <c r="M362" s="14" t="s">
        <v>2</v>
      </c>
      <c r="O362" s="4">
        <v>62</v>
      </c>
    </row>
    <row r="363" spans="1:15" ht="29" x14ac:dyDescent="0.35">
      <c r="A363" s="7">
        <v>361</v>
      </c>
      <c r="B363" s="15" t="s">
        <v>418</v>
      </c>
      <c r="C363" s="15"/>
      <c r="D363" s="14"/>
      <c r="E363" s="14" t="s">
        <v>354</v>
      </c>
      <c r="F363" s="14"/>
      <c r="G363" s="16" t="s">
        <v>455</v>
      </c>
      <c r="H363" s="16" t="s">
        <v>455</v>
      </c>
      <c r="I363" s="16" t="s">
        <v>455</v>
      </c>
      <c r="J363" s="16" t="s">
        <v>454</v>
      </c>
      <c r="K363" s="17"/>
      <c r="L363" s="17">
        <v>1</v>
      </c>
      <c r="M363" s="14" t="s">
        <v>2</v>
      </c>
      <c r="O363" s="4">
        <v>63</v>
      </c>
    </row>
    <row r="364" spans="1:15" ht="29" x14ac:dyDescent="0.35">
      <c r="A364" s="7">
        <v>362</v>
      </c>
      <c r="B364" s="15" t="s">
        <v>419</v>
      </c>
      <c r="C364" s="15"/>
      <c r="D364" s="14"/>
      <c r="E364" s="14" t="s">
        <v>352</v>
      </c>
      <c r="F364" s="14"/>
      <c r="G364" s="16" t="s">
        <v>455</v>
      </c>
      <c r="H364" s="16" t="s">
        <v>455</v>
      </c>
      <c r="I364" s="16" t="s">
        <v>455</v>
      </c>
      <c r="J364" s="16" t="s">
        <v>454</v>
      </c>
      <c r="K364" s="17"/>
      <c r="L364" s="17">
        <v>1</v>
      </c>
      <c r="M364" s="14" t="s">
        <v>2</v>
      </c>
      <c r="O364" s="4">
        <v>64</v>
      </c>
    </row>
    <row r="365" spans="1:15" ht="58" x14ac:dyDescent="0.35">
      <c r="A365" s="7">
        <v>363</v>
      </c>
      <c r="B365" s="15" t="s">
        <v>420</v>
      </c>
      <c r="C365" s="15"/>
      <c r="D365" s="14"/>
      <c r="E365" s="14" t="s">
        <v>421</v>
      </c>
      <c r="F365" s="14"/>
      <c r="G365" s="16" t="s">
        <v>455</v>
      </c>
      <c r="H365" s="16" t="s">
        <v>455</v>
      </c>
      <c r="I365" s="16" t="s">
        <v>455</v>
      </c>
      <c r="J365" s="16" t="s">
        <v>454</v>
      </c>
      <c r="K365" s="17"/>
      <c r="L365" s="17">
        <v>1</v>
      </c>
      <c r="M365" s="14" t="s">
        <v>2</v>
      </c>
      <c r="O365" s="4">
        <v>65</v>
      </c>
    </row>
    <row r="366" spans="1:15" ht="29" x14ac:dyDescent="0.35">
      <c r="A366" s="7">
        <v>364</v>
      </c>
      <c r="B366" s="15" t="s">
        <v>422</v>
      </c>
      <c r="C366" s="15"/>
      <c r="D366" s="14"/>
      <c r="E366" s="14" t="s">
        <v>423</v>
      </c>
      <c r="F366" s="14"/>
      <c r="G366" s="16" t="s">
        <v>455</v>
      </c>
      <c r="H366" s="16" t="s">
        <v>455</v>
      </c>
      <c r="I366" s="16" t="s">
        <v>455</v>
      </c>
      <c r="J366" s="16" t="s">
        <v>454</v>
      </c>
      <c r="K366" s="17"/>
      <c r="L366" s="17">
        <v>1</v>
      </c>
      <c r="M366" s="14" t="s">
        <v>2</v>
      </c>
      <c r="O366" s="4">
        <v>66</v>
      </c>
    </row>
    <row r="367" spans="1:15" x14ac:dyDescent="0.35">
      <c r="A367" s="7">
        <v>365</v>
      </c>
      <c r="B367" s="15" t="s">
        <v>424</v>
      </c>
      <c r="C367" s="15"/>
      <c r="D367" s="14"/>
      <c r="E367" s="14" t="s">
        <v>354</v>
      </c>
      <c r="F367" s="14"/>
      <c r="G367" s="16" t="s">
        <v>455</v>
      </c>
      <c r="H367" s="16" t="s">
        <v>455</v>
      </c>
      <c r="I367" s="16" t="s">
        <v>455</v>
      </c>
      <c r="J367" s="16" t="s">
        <v>454</v>
      </c>
      <c r="K367" s="17"/>
      <c r="L367" s="17">
        <v>1</v>
      </c>
      <c r="M367" s="14" t="s">
        <v>2</v>
      </c>
      <c r="O367" s="4">
        <v>67</v>
      </c>
    </row>
    <row r="368" spans="1:15" ht="29" x14ac:dyDescent="0.35">
      <c r="A368" s="7">
        <v>366</v>
      </c>
      <c r="B368" s="15" t="s">
        <v>425</v>
      </c>
      <c r="C368" s="15"/>
      <c r="D368" s="14"/>
      <c r="E368" s="14" t="s">
        <v>426</v>
      </c>
      <c r="F368" s="14"/>
      <c r="G368" s="16" t="s">
        <v>455</v>
      </c>
      <c r="H368" s="16" t="s">
        <v>455</v>
      </c>
      <c r="I368" s="16" t="s">
        <v>455</v>
      </c>
      <c r="J368" s="16" t="s">
        <v>454</v>
      </c>
      <c r="K368" s="17"/>
      <c r="L368" s="17">
        <v>1</v>
      </c>
      <c r="M368" s="14" t="s">
        <v>2</v>
      </c>
      <c r="O368" s="4">
        <v>68</v>
      </c>
    </row>
    <row r="369" spans="1:15" x14ac:dyDescent="0.35">
      <c r="A369" s="7">
        <v>367</v>
      </c>
      <c r="B369" s="15" t="s">
        <v>427</v>
      </c>
      <c r="C369" s="15"/>
      <c r="D369" s="14"/>
      <c r="E369" s="14" t="s">
        <v>396</v>
      </c>
      <c r="F369" s="14"/>
      <c r="G369" s="16" t="s">
        <v>455</v>
      </c>
      <c r="H369" s="16" t="s">
        <v>455</v>
      </c>
      <c r="I369" s="16" t="s">
        <v>455</v>
      </c>
      <c r="J369" s="16" t="s">
        <v>454</v>
      </c>
      <c r="K369" s="17"/>
      <c r="L369" s="17">
        <v>1</v>
      </c>
      <c r="M369" s="14" t="s">
        <v>2</v>
      </c>
      <c r="O369" s="4">
        <v>69</v>
      </c>
    </row>
    <row r="370" spans="1:15" x14ac:dyDescent="0.35">
      <c r="A370" s="7">
        <v>368</v>
      </c>
      <c r="B370" s="15" t="s">
        <v>428</v>
      </c>
      <c r="C370" s="15"/>
      <c r="D370" s="14"/>
      <c r="E370" s="14" t="s">
        <v>361</v>
      </c>
      <c r="F370" s="14"/>
      <c r="G370" s="16" t="s">
        <v>455</v>
      </c>
      <c r="H370" s="16" t="s">
        <v>455</v>
      </c>
      <c r="I370" s="16" t="s">
        <v>455</v>
      </c>
      <c r="J370" s="16" t="s">
        <v>454</v>
      </c>
      <c r="K370" s="17"/>
      <c r="L370" s="17">
        <v>1</v>
      </c>
      <c r="M370" s="14" t="s">
        <v>2</v>
      </c>
      <c r="O370" s="4">
        <v>70</v>
      </c>
    </row>
    <row r="371" spans="1:15" x14ac:dyDescent="0.35">
      <c r="A371" s="7">
        <v>369</v>
      </c>
      <c r="B371" s="15" t="s">
        <v>429</v>
      </c>
      <c r="C371" s="15"/>
      <c r="D371" s="14"/>
      <c r="E371" s="14" t="s">
        <v>396</v>
      </c>
      <c r="F371" s="14"/>
      <c r="G371" s="16" t="s">
        <v>455</v>
      </c>
      <c r="H371" s="16" t="s">
        <v>455</v>
      </c>
      <c r="I371" s="16" t="s">
        <v>455</v>
      </c>
      <c r="J371" s="16" t="s">
        <v>454</v>
      </c>
      <c r="K371" s="17"/>
      <c r="L371" s="17">
        <v>1</v>
      </c>
      <c r="M371" s="14" t="s">
        <v>2</v>
      </c>
      <c r="O371" s="4">
        <v>71</v>
      </c>
    </row>
    <row r="372" spans="1:15" x14ac:dyDescent="0.35">
      <c r="A372" s="7">
        <v>370</v>
      </c>
      <c r="B372" s="15" t="s">
        <v>430</v>
      </c>
      <c r="C372" s="15"/>
      <c r="D372" s="14"/>
      <c r="E372" s="14" t="s">
        <v>364</v>
      </c>
      <c r="F372" s="14"/>
      <c r="G372" s="16" t="s">
        <v>455</v>
      </c>
      <c r="H372" s="16" t="s">
        <v>455</v>
      </c>
      <c r="I372" s="16" t="s">
        <v>455</v>
      </c>
      <c r="J372" s="16" t="s">
        <v>454</v>
      </c>
      <c r="K372" s="17"/>
      <c r="L372" s="17">
        <v>1</v>
      </c>
      <c r="M372" s="14" t="s">
        <v>2</v>
      </c>
      <c r="O372" s="4">
        <v>72</v>
      </c>
    </row>
    <row r="373" spans="1:15" x14ac:dyDescent="0.35">
      <c r="A373" s="7">
        <v>371</v>
      </c>
      <c r="B373" s="15" t="s">
        <v>431</v>
      </c>
      <c r="C373" s="15"/>
      <c r="D373" s="14"/>
      <c r="E373" s="14" t="s">
        <v>374</v>
      </c>
      <c r="F373" s="14"/>
      <c r="G373" s="16" t="s">
        <v>455</v>
      </c>
      <c r="H373" s="16" t="s">
        <v>455</v>
      </c>
      <c r="I373" s="16" t="s">
        <v>455</v>
      </c>
      <c r="J373" s="16" t="s">
        <v>454</v>
      </c>
      <c r="K373" s="17"/>
      <c r="L373" s="17">
        <v>1</v>
      </c>
      <c r="M373" s="14" t="s">
        <v>2</v>
      </c>
      <c r="O373" s="4">
        <v>73</v>
      </c>
    </row>
    <row r="374" spans="1:15" x14ac:dyDescent="0.35">
      <c r="A374" s="7">
        <v>372</v>
      </c>
      <c r="B374" s="15" t="s">
        <v>432</v>
      </c>
      <c r="C374" s="15"/>
      <c r="D374" s="14"/>
      <c r="E374" s="14" t="s">
        <v>433</v>
      </c>
      <c r="F374" s="14"/>
      <c r="G374" s="16" t="s">
        <v>455</v>
      </c>
      <c r="H374" s="16" t="s">
        <v>455</v>
      </c>
      <c r="I374" s="16" t="s">
        <v>455</v>
      </c>
      <c r="J374" s="16" t="s">
        <v>454</v>
      </c>
      <c r="K374" s="17"/>
      <c r="L374" s="17">
        <v>1</v>
      </c>
      <c r="M374" s="14" t="s">
        <v>2</v>
      </c>
      <c r="O374" s="4">
        <v>74</v>
      </c>
    </row>
    <row r="375" spans="1:15" x14ac:dyDescent="0.35">
      <c r="A375" s="7">
        <v>373</v>
      </c>
      <c r="B375" s="15" t="s">
        <v>434</v>
      </c>
      <c r="C375" s="15"/>
      <c r="D375" s="14"/>
      <c r="E375" s="14" t="s">
        <v>408</v>
      </c>
      <c r="F375" s="14"/>
      <c r="G375" s="16" t="s">
        <v>455</v>
      </c>
      <c r="H375" s="16" t="s">
        <v>455</v>
      </c>
      <c r="I375" s="16" t="s">
        <v>455</v>
      </c>
      <c r="J375" s="16" t="s">
        <v>454</v>
      </c>
      <c r="K375" s="17"/>
      <c r="L375" s="17">
        <v>1</v>
      </c>
      <c r="M375" s="14" t="s">
        <v>2</v>
      </c>
      <c r="O375" s="4">
        <v>75</v>
      </c>
    </row>
    <row r="376" spans="1:15" ht="29" x14ac:dyDescent="0.35">
      <c r="A376" s="7">
        <v>374</v>
      </c>
      <c r="B376" s="15" t="s">
        <v>435</v>
      </c>
      <c r="C376" s="15"/>
      <c r="D376" s="14"/>
      <c r="E376" s="14" t="s">
        <v>386</v>
      </c>
      <c r="F376" s="14"/>
      <c r="G376" s="16" t="s">
        <v>455</v>
      </c>
      <c r="H376" s="16" t="s">
        <v>455</v>
      </c>
      <c r="I376" s="16" t="s">
        <v>455</v>
      </c>
      <c r="J376" s="16" t="s">
        <v>454</v>
      </c>
      <c r="K376" s="17"/>
      <c r="L376" s="17">
        <v>1</v>
      </c>
      <c r="M376" s="14" t="s">
        <v>2</v>
      </c>
      <c r="O376" s="4">
        <v>76</v>
      </c>
    </row>
    <row r="377" spans="1:15" ht="29" x14ac:dyDescent="0.35">
      <c r="A377" s="7">
        <v>375</v>
      </c>
      <c r="B377" s="15" t="s">
        <v>436</v>
      </c>
      <c r="C377" s="15"/>
      <c r="D377" s="14"/>
      <c r="E377" s="14" t="s">
        <v>437</v>
      </c>
      <c r="F377" s="14"/>
      <c r="G377" s="16" t="s">
        <v>455</v>
      </c>
      <c r="H377" s="16" t="s">
        <v>455</v>
      </c>
      <c r="I377" s="16" t="s">
        <v>455</v>
      </c>
      <c r="J377" s="16" t="s">
        <v>454</v>
      </c>
      <c r="K377" s="17"/>
      <c r="L377" s="17">
        <v>1</v>
      </c>
      <c r="M377" s="14" t="s">
        <v>2</v>
      </c>
      <c r="O377" s="4">
        <v>77</v>
      </c>
    </row>
    <row r="378" spans="1:15" ht="29" x14ac:dyDescent="0.35">
      <c r="A378" s="7">
        <v>376</v>
      </c>
      <c r="B378" s="15" t="s">
        <v>438</v>
      </c>
      <c r="C378" s="15"/>
      <c r="D378" s="14"/>
      <c r="E378" s="14" t="s">
        <v>384</v>
      </c>
      <c r="F378" s="14"/>
      <c r="G378" s="16" t="s">
        <v>455</v>
      </c>
      <c r="H378" s="16" t="s">
        <v>455</v>
      </c>
      <c r="I378" s="16" t="s">
        <v>455</v>
      </c>
      <c r="J378" s="16" t="s">
        <v>454</v>
      </c>
      <c r="K378" s="17"/>
      <c r="L378" s="17">
        <v>1</v>
      </c>
      <c r="M378" s="14" t="s">
        <v>2</v>
      </c>
      <c r="O378" s="4">
        <v>78</v>
      </c>
    </row>
    <row r="379" spans="1:15" x14ac:dyDescent="0.35">
      <c r="A379" s="7">
        <v>377</v>
      </c>
      <c r="B379" s="15" t="s">
        <v>439</v>
      </c>
      <c r="C379" s="15"/>
      <c r="D379" s="14"/>
      <c r="E379" s="14" t="s">
        <v>364</v>
      </c>
      <c r="F379" s="14"/>
      <c r="G379" s="16" t="s">
        <v>455</v>
      </c>
      <c r="H379" s="16" t="s">
        <v>455</v>
      </c>
      <c r="I379" s="16" t="s">
        <v>455</v>
      </c>
      <c r="J379" s="16" t="s">
        <v>454</v>
      </c>
      <c r="K379" s="17"/>
      <c r="L379" s="17">
        <v>1</v>
      </c>
      <c r="M379" s="14" t="s">
        <v>2</v>
      </c>
      <c r="O379" s="4">
        <v>79</v>
      </c>
    </row>
    <row r="380" spans="1:15" ht="29" x14ac:dyDescent="0.35">
      <c r="A380" s="7">
        <v>378</v>
      </c>
      <c r="B380" s="15" t="s">
        <v>440</v>
      </c>
      <c r="C380" s="15"/>
      <c r="D380" s="14"/>
      <c r="E380" s="14" t="s">
        <v>441</v>
      </c>
      <c r="F380" s="14"/>
      <c r="G380" s="16" t="s">
        <v>455</v>
      </c>
      <c r="H380" s="16" t="s">
        <v>455</v>
      </c>
      <c r="I380" s="16" t="s">
        <v>455</v>
      </c>
      <c r="J380" s="16" t="s">
        <v>454</v>
      </c>
      <c r="K380" s="17"/>
      <c r="L380" s="17">
        <v>1</v>
      </c>
      <c r="M380" s="14" t="s">
        <v>2</v>
      </c>
      <c r="O380" s="4">
        <v>80</v>
      </c>
    </row>
    <row r="381" spans="1:15" ht="29" x14ac:dyDescent="0.35">
      <c r="A381" s="7">
        <v>379</v>
      </c>
      <c r="B381" s="15" t="s">
        <v>442</v>
      </c>
      <c r="C381" s="15"/>
      <c r="D381" s="14"/>
      <c r="E381" s="14" t="s">
        <v>426</v>
      </c>
      <c r="F381" s="14"/>
      <c r="G381" s="16" t="s">
        <v>455</v>
      </c>
      <c r="H381" s="16" t="s">
        <v>455</v>
      </c>
      <c r="I381" s="16" t="s">
        <v>455</v>
      </c>
      <c r="J381" s="16" t="s">
        <v>454</v>
      </c>
      <c r="K381" s="17"/>
      <c r="L381" s="17">
        <v>1</v>
      </c>
      <c r="M381" s="14" t="s">
        <v>2</v>
      </c>
      <c r="O381" s="4">
        <v>81</v>
      </c>
    </row>
    <row r="382" spans="1:15" x14ac:dyDescent="0.35">
      <c r="A382" s="7">
        <v>380</v>
      </c>
      <c r="B382" s="15" t="s">
        <v>443</v>
      </c>
      <c r="C382" s="15"/>
      <c r="D382" s="14"/>
      <c r="E382" s="14" t="s">
        <v>444</v>
      </c>
      <c r="F382" s="14"/>
      <c r="G382" s="16" t="s">
        <v>455</v>
      </c>
      <c r="H382" s="16" t="s">
        <v>455</v>
      </c>
      <c r="I382" s="16" t="s">
        <v>455</v>
      </c>
      <c r="J382" s="16" t="s">
        <v>454</v>
      </c>
      <c r="K382" s="17"/>
      <c r="L382" s="17">
        <v>1</v>
      </c>
      <c r="M382" s="14" t="s">
        <v>2</v>
      </c>
      <c r="O382" s="4">
        <v>82</v>
      </c>
    </row>
    <row r="383" spans="1:15" x14ac:dyDescent="0.35">
      <c r="A383" s="7">
        <v>381</v>
      </c>
      <c r="B383" s="15" t="s">
        <v>445</v>
      </c>
      <c r="C383" s="15"/>
      <c r="D383" s="14"/>
      <c r="E383" s="14" t="s">
        <v>390</v>
      </c>
      <c r="F383" s="14"/>
      <c r="G383" s="16" t="s">
        <v>455</v>
      </c>
      <c r="H383" s="16" t="s">
        <v>455</v>
      </c>
      <c r="I383" s="16" t="s">
        <v>455</v>
      </c>
      <c r="J383" s="16" t="s">
        <v>454</v>
      </c>
      <c r="K383" s="17"/>
      <c r="L383" s="17">
        <v>1</v>
      </c>
      <c r="M383" s="14" t="s">
        <v>2</v>
      </c>
      <c r="O383" s="4">
        <v>83</v>
      </c>
    </row>
    <row r="384" spans="1:15" x14ac:dyDescent="0.35">
      <c r="A384" s="7">
        <v>382</v>
      </c>
      <c r="B384" s="15" t="s">
        <v>446</v>
      </c>
      <c r="C384" s="15"/>
      <c r="D384" s="14"/>
      <c r="E384" s="14" t="s">
        <v>447</v>
      </c>
      <c r="F384" s="14"/>
      <c r="G384" s="16" t="s">
        <v>455</v>
      </c>
      <c r="H384" s="16" t="s">
        <v>455</v>
      </c>
      <c r="I384" s="16" t="s">
        <v>455</v>
      </c>
      <c r="J384" s="16" t="s">
        <v>454</v>
      </c>
      <c r="K384" s="17"/>
      <c r="L384" s="17">
        <v>1</v>
      </c>
      <c r="M384" s="14" t="s">
        <v>2</v>
      </c>
      <c r="O384" s="4">
        <v>84</v>
      </c>
    </row>
    <row r="385" spans="1:15" ht="29" x14ac:dyDescent="0.35">
      <c r="A385" s="7">
        <v>383</v>
      </c>
      <c r="B385" s="15" t="s">
        <v>448</v>
      </c>
      <c r="C385" s="15"/>
      <c r="D385" s="14"/>
      <c r="E385" s="14" t="s">
        <v>426</v>
      </c>
      <c r="F385" s="14"/>
      <c r="G385" s="16" t="s">
        <v>455</v>
      </c>
      <c r="H385" s="16" t="s">
        <v>455</v>
      </c>
      <c r="I385" s="16" t="s">
        <v>455</v>
      </c>
      <c r="J385" s="16" t="s">
        <v>454</v>
      </c>
      <c r="K385" s="17"/>
      <c r="L385" s="17">
        <v>1</v>
      </c>
      <c r="M385" s="14" t="s">
        <v>2</v>
      </c>
      <c r="O385" s="4">
        <v>85</v>
      </c>
    </row>
    <row r="386" spans="1:15" ht="29" x14ac:dyDescent="0.35">
      <c r="A386" s="7">
        <v>384</v>
      </c>
      <c r="B386" s="15" t="s">
        <v>449</v>
      </c>
      <c r="C386" s="15"/>
      <c r="D386" s="14"/>
      <c r="E386" s="14" t="s">
        <v>450</v>
      </c>
      <c r="F386" s="14"/>
      <c r="G386" s="16" t="s">
        <v>455</v>
      </c>
      <c r="H386" s="16" t="s">
        <v>455</v>
      </c>
      <c r="I386" s="16" t="s">
        <v>455</v>
      </c>
      <c r="J386" s="16" t="s">
        <v>454</v>
      </c>
      <c r="K386" s="17"/>
      <c r="L386" s="17">
        <v>1</v>
      </c>
      <c r="M386" s="14" t="s">
        <v>2</v>
      </c>
      <c r="O386" s="4">
        <v>86</v>
      </c>
    </row>
    <row r="387" spans="1:15" ht="174" x14ac:dyDescent="0.35">
      <c r="A387" s="7">
        <v>385</v>
      </c>
      <c r="B387" s="15" t="s">
        <v>741</v>
      </c>
      <c r="C387" s="15"/>
      <c r="D387" s="14"/>
      <c r="E387" s="14" t="s">
        <v>451</v>
      </c>
      <c r="F387" s="14"/>
      <c r="G387" s="16" t="s">
        <v>455</v>
      </c>
      <c r="H387" s="16" t="s">
        <v>455</v>
      </c>
      <c r="I387" s="16" t="s">
        <v>455</v>
      </c>
      <c r="J387" s="16" t="s">
        <v>454</v>
      </c>
      <c r="K387" s="17"/>
      <c r="L387" s="17">
        <v>1</v>
      </c>
      <c r="M387" s="14" t="s">
        <v>2</v>
      </c>
      <c r="O387" s="4">
        <v>87</v>
      </c>
    </row>
    <row r="388" spans="1:15" ht="58" x14ac:dyDescent="0.35">
      <c r="A388" s="7">
        <v>386</v>
      </c>
      <c r="B388" s="15" t="s">
        <v>452</v>
      </c>
      <c r="C388" s="15"/>
      <c r="D388" s="14"/>
      <c r="E388" s="14" t="s">
        <v>453</v>
      </c>
      <c r="F388" s="14"/>
      <c r="G388" s="16" t="s">
        <v>455</v>
      </c>
      <c r="H388" s="16" t="s">
        <v>455</v>
      </c>
      <c r="I388" s="16" t="s">
        <v>455</v>
      </c>
      <c r="J388" s="16" t="s">
        <v>454</v>
      </c>
      <c r="K388" s="17"/>
      <c r="L388" s="17">
        <v>1</v>
      </c>
      <c r="M388" s="14" t="s">
        <v>2</v>
      </c>
      <c r="O388" s="4">
        <v>88</v>
      </c>
    </row>
    <row r="389" spans="1:15" ht="116" x14ac:dyDescent="0.35">
      <c r="A389" s="7">
        <v>387</v>
      </c>
      <c r="B389" s="15" t="s">
        <v>456</v>
      </c>
      <c r="C389" s="15" t="s">
        <v>344</v>
      </c>
      <c r="D389" s="14"/>
      <c r="E389" s="14"/>
      <c r="F389" s="14"/>
      <c r="G389" s="16" t="s">
        <v>455</v>
      </c>
      <c r="H389" s="16" t="s">
        <v>455</v>
      </c>
      <c r="I389" s="16" t="s">
        <v>455</v>
      </c>
      <c r="J389" s="16" t="s">
        <v>454</v>
      </c>
      <c r="K389" s="17"/>
      <c r="L389" s="17">
        <v>1</v>
      </c>
      <c r="M389" s="14" t="s">
        <v>2</v>
      </c>
      <c r="O389" s="4">
        <v>89</v>
      </c>
    </row>
    <row r="390" spans="1:15" ht="87" x14ac:dyDescent="0.35">
      <c r="A390" s="7">
        <v>388</v>
      </c>
      <c r="B390" s="15" t="s">
        <v>723</v>
      </c>
      <c r="C390" s="15" t="s">
        <v>344</v>
      </c>
      <c r="D390" s="14"/>
      <c r="E390" s="14"/>
      <c r="F390" s="14"/>
      <c r="G390" s="16" t="s">
        <v>455</v>
      </c>
      <c r="H390" s="16" t="s">
        <v>455</v>
      </c>
      <c r="I390" s="16" t="s">
        <v>455</v>
      </c>
      <c r="J390" s="16" t="s">
        <v>454</v>
      </c>
      <c r="K390" s="17"/>
      <c r="L390" s="17">
        <v>1</v>
      </c>
      <c r="M390" s="14" t="s">
        <v>2</v>
      </c>
      <c r="O390" s="4">
        <v>90</v>
      </c>
    </row>
    <row r="391" spans="1:15" x14ac:dyDescent="0.35">
      <c r="K391" s="2">
        <f>SUM(K3:K390)</f>
        <v>296</v>
      </c>
      <c r="L391" s="2">
        <f>SUM(L3:L390)</f>
        <v>92</v>
      </c>
    </row>
  </sheetData>
  <mergeCells count="11">
    <mergeCell ref="J1:J2"/>
    <mergeCell ref="K1:M1"/>
    <mergeCell ref="A1:A2"/>
    <mergeCell ref="B1:B2"/>
    <mergeCell ref="C1:C2"/>
    <mergeCell ref="D1:D2"/>
    <mergeCell ref="E1:E2"/>
    <mergeCell ref="F1:F2"/>
    <mergeCell ref="G1:G2"/>
    <mergeCell ref="H1:H2"/>
    <mergeCell ref="I1:I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23AD0-4C1C-42E8-91C8-0B35BAB29D31}">
  <dimension ref="B2:E7"/>
  <sheetViews>
    <sheetView workbookViewId="0">
      <selection activeCell="B9" sqref="B9"/>
    </sheetView>
  </sheetViews>
  <sheetFormatPr defaultRowHeight="14.5" x14ac:dyDescent="0.35"/>
  <cols>
    <col min="2" max="2" width="41.1796875" style="1" customWidth="1"/>
    <col min="4" max="4" width="8.7265625" style="3"/>
    <col min="5" max="5" width="38.6328125" bestFit="1" customWidth="1"/>
  </cols>
  <sheetData>
    <row r="2" spans="2:5" x14ac:dyDescent="0.35">
      <c r="B2" s="1" t="s">
        <v>728</v>
      </c>
      <c r="D2" s="3">
        <v>298</v>
      </c>
    </row>
    <row r="3" spans="2:5" x14ac:dyDescent="0.35">
      <c r="B3" s="1" t="s">
        <v>729</v>
      </c>
      <c r="D3" s="3">
        <v>296</v>
      </c>
      <c r="E3" t="s">
        <v>742</v>
      </c>
    </row>
    <row r="4" spans="2:5" x14ac:dyDescent="0.35">
      <c r="B4" s="1" t="s">
        <v>730</v>
      </c>
      <c r="D4" s="3">
        <v>298</v>
      </c>
    </row>
    <row r="5" spans="2:5" x14ac:dyDescent="0.35">
      <c r="B5" s="1" t="s">
        <v>731</v>
      </c>
      <c r="D5" s="3">
        <v>9</v>
      </c>
    </row>
    <row r="6" spans="2:5" x14ac:dyDescent="0.35">
      <c r="B6" s="1" t="s">
        <v>743</v>
      </c>
      <c r="D6" s="3">
        <v>90</v>
      </c>
    </row>
    <row r="7" spans="2:5" x14ac:dyDescent="0.35">
      <c r="B7" s="1" t="s">
        <v>744</v>
      </c>
      <c r="D7" s="3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Matrik</vt:lpstr>
      <vt:lpstr>Rekap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bardahudaya18@outlook.com</cp:lastModifiedBy>
  <dcterms:created xsi:type="dcterms:W3CDTF">2015-06-05T18:17:20Z</dcterms:created>
  <dcterms:modified xsi:type="dcterms:W3CDTF">2026-09-15T03:59:41Z</dcterms:modified>
</cp:coreProperties>
</file>